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<sst xmlns="http://schemas.openxmlformats.org/spreadsheetml/2006/main" count="89" uniqueCount="52">
  <si>
    <t xml:space="preserve">Número</t>
  </si>
  <si>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</si>
  <si>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</si>
  <si>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</si>
  <si>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</si>
  <si>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</si>
  <si>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</si>
  <si>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nº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</si>
  <si>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</si>
  <si>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</si>
  <si>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</si>
  <si>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</si>
  <si>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</si>
  <si>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2515-q1</t>
  </si>
  <si>
    <t xml:space="preserve">intervencao</t>
  </si>
  <si>
    <t xml:space="preserve">18797-q1</t>
  </si>
  <si>
    <t xml:space="preserve">controle</t>
  </si>
  <si>
    <t xml:space="preserve">19872-q1</t>
  </si>
  <si>
    <t xml:space="preserve">20331-q1</t>
  </si>
  <si>
    <t xml:space="preserve">44738-q1</t>
  </si>
  <si>
    <t xml:space="preserve">45478-q1</t>
  </si>
  <si>
    <t xml:space="preserve">54299-q1</t>
  </si>
  <si>
    <t xml:space="preserve">57572-q1</t>
  </si>
  <si>
    <t xml:space="preserve">61094-q1</t>
  </si>
  <si>
    <t xml:space="preserve">61115-q1</t>
  </si>
  <si>
    <t xml:space="preserve">106409-q1</t>
  </si>
  <si>
    <t xml:space="preserve">131382-q1</t>
  </si>
  <si>
    <t xml:space="preserve">18797-q2</t>
  </si>
  <si>
    <t xml:space="preserve">18804-q2</t>
  </si>
  <si>
    <t xml:space="preserve">23810-q2</t>
  </si>
  <si>
    <t xml:space="preserve">54299-q2</t>
  </si>
  <si>
    <t xml:space="preserve">61115-q2</t>
  </si>
  <si>
    <t xml:space="preserve">131382-q2</t>
  </si>
  <si>
    <t xml:space="preserve">18414-q1</t>
  </si>
  <si>
    <t xml:space="preserve">19279-q1</t>
  </si>
  <si>
    <t xml:space="preserve">73939-q1</t>
  </si>
  <si>
    <t xml:space="preserve">107252-q1</t>
  </si>
  <si>
    <t xml:space="preserve">18676-q2</t>
  </si>
  <si>
    <t xml:space="preserve">33145-q2</t>
  </si>
  <si>
    <t xml:space="preserve">60129-q3</t>
  </si>
  <si>
    <t xml:space="preserve">88570-q3</t>
  </si>
  <si>
    <t xml:space="preserve">18414-q4</t>
  </si>
  <si>
    <t xml:space="preserve">18676-q4</t>
  </si>
  <si>
    <t xml:space="preserve">19279-q4</t>
  </si>
  <si>
    <t xml:space="preserve">33145-q4</t>
  </si>
  <si>
    <t xml:space="preserve">45258-q4</t>
  </si>
  <si>
    <t xml:space="preserve">45475-q4</t>
  </si>
  <si>
    <t xml:space="preserve">57800-q4</t>
  </si>
  <si>
    <t xml:space="preserve">60129-q4</t>
  </si>
  <si>
    <t xml:space="preserve">73939-q4</t>
  </si>
  <si>
    <t xml:space="preserve">73940-q4</t>
  </si>
  <si>
    <t xml:space="preserve">74066-q4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</si>
</sst>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9" style="1" width="22.44"/>
    <col collapsed="false" customWidth="true" hidden="false" outlineLevel="0" max="10" min="10" style="1" width="21.72"/>
    <col collapsed="false" customWidth="false" hidden="false" outlineLevel="0" max="12" min="11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/>
      <c r="L1" s="5" t="s">
        <v>10</v>
      </c>
      <c r="M1" s="5" t="s">
        <v>11</v>
      </c>
      <c r="N1" s="5" t="s">
        <v>12</v>
      </c>
    </row>
    <row r="2" customFormat="false" ht="12.8" hidden="false" customHeight="true" outlineLevel="0" collapsed="false">
      <c r="A2" s="6" t="s">
        <v>13</v>
      </c>
      <c r="B2" s="7" t="s">
        <v>14</v>
      </c>
      <c r="C2" s="8" t="n">
        <v>8</v>
      </c>
      <c r="D2" s="8" t="n">
        <v>9</v>
      </c>
      <c r="E2" s="9"/>
      <c r="F2" s="10" t="n">
        <v>2</v>
      </c>
      <c r="G2" s="11"/>
      <c r="H2" s="8"/>
      <c r="I2" s="12" t="n">
        <f aca="false">IF($F2=1, 0, (MAX($H2,$G2,$D2,$C2)-$C2)/($F2-1))</f>
        <v>1</v>
      </c>
      <c r="J2" s="13"/>
      <c r="K2" s="14" t="s">
        <v>14</v>
      </c>
      <c r="L2" s="15" t="n">
        <f aca="false">AVERAGE(I2:I38)</f>
        <v>1.75714285714286</v>
      </c>
      <c r="M2" s="16" t="n">
        <f aca="false">MEDIAN(I2:I38)</f>
        <v>2</v>
      </c>
      <c r="N2" s="16" t="n">
        <f aca="false">STDEV(I2:I38)</f>
        <v>1.05371319296014</v>
      </c>
    </row>
    <row r="3" customFormat="false" ht="12.8" hidden="false" customHeight="true" outlineLevel="0" collapsed="false">
      <c r="A3" s="17" t="s">
        <v>15</v>
      </c>
      <c r="B3" s="17" t="s">
        <v>16</v>
      </c>
      <c r="C3" s="9" t="n">
        <v>8</v>
      </c>
      <c r="D3" s="11" t="n">
        <v>10</v>
      </c>
      <c r="E3" s="11"/>
      <c r="F3" s="18" t="n">
        <v>2</v>
      </c>
      <c r="G3" s="19"/>
      <c r="H3" s="11"/>
      <c r="I3" s="13"/>
      <c r="J3" s="12" t="n">
        <f aca="false">IF($F3=1, 0, (MAX($H3,$G3,$D3,$C3)-$C3)/($F3-1))</f>
        <v>2</v>
      </c>
      <c r="K3" s="20"/>
      <c r="L3" s="16"/>
      <c r="M3" s="16"/>
      <c r="N3" s="16"/>
    </row>
    <row r="4" customFormat="false" ht="12.8" hidden="false" customHeight="true" outlineLevel="0" collapsed="false">
      <c r="A4" s="6" t="s">
        <v>17</v>
      </c>
      <c r="B4" s="7" t="s">
        <v>14</v>
      </c>
      <c r="C4" s="9" t="n">
        <v>8</v>
      </c>
      <c r="D4" s="11" t="n">
        <v>9</v>
      </c>
      <c r="E4" s="11"/>
      <c r="F4" s="11" t="n">
        <v>2</v>
      </c>
      <c r="G4" s="11"/>
      <c r="H4" s="11"/>
      <c r="I4" s="12" t="n">
        <f aca="false">IF($F4=1, 0, (MAX($H4,$G4,$D4,$C4)-$C4)/($F4-1))</f>
        <v>1</v>
      </c>
      <c r="J4" s="13"/>
      <c r="K4" s="20"/>
      <c r="L4" s="16"/>
      <c r="M4" s="16"/>
      <c r="N4" s="16"/>
    </row>
    <row r="5" customFormat="false" ht="12.8" hidden="false" customHeight="true" outlineLevel="0" collapsed="false">
      <c r="A5" s="6" t="s">
        <v>18</v>
      </c>
      <c r="B5" s="7" t="s">
        <v>14</v>
      </c>
      <c r="C5" s="9" t="n">
        <v>8</v>
      </c>
      <c r="D5" s="11" t="n">
        <v>9</v>
      </c>
      <c r="E5" s="11"/>
      <c r="F5" s="11" t="n">
        <v>3</v>
      </c>
      <c r="G5" s="11" t="n">
        <v>9</v>
      </c>
      <c r="H5" s="11"/>
      <c r="I5" s="12" t="n">
        <f aca="false">IF($F5=1, 0, (MAX($H5,$G5,$D5,$C5)-$C5)/($F5-1))</f>
        <v>0.5</v>
      </c>
      <c r="J5" s="21"/>
      <c r="K5" s="20" t="s">
        <v>16</v>
      </c>
      <c r="L5" s="16" t="n">
        <f aca="false">AVERAGE(J2:J38)</f>
        <v>1.26050420168067</v>
      </c>
      <c r="M5" s="16" t="n">
        <f aca="false">MEDIAN(J2:J38)</f>
        <v>0.714285714285714</v>
      </c>
      <c r="N5" s="16" t="n">
        <f aca="false">STDEV(J2:J38)</f>
        <v>1.50020006668979</v>
      </c>
    </row>
    <row r="6" customFormat="false" ht="12.8" hidden="false" customHeight="true" outlineLevel="0" collapsed="false">
      <c r="A6" s="22" t="s">
        <v>19</v>
      </c>
      <c r="B6" s="6" t="s">
        <v>16</v>
      </c>
      <c r="C6" s="9" t="n">
        <v>9</v>
      </c>
      <c r="D6" s="11" t="n">
        <v>9</v>
      </c>
      <c r="E6" s="11"/>
      <c r="F6" s="11" t="n">
        <v>3</v>
      </c>
      <c r="G6" s="11" t="n">
        <v>9</v>
      </c>
      <c r="H6" s="11"/>
      <c r="I6" s="13"/>
      <c r="J6" s="12" t="n">
        <f aca="false">IF($F6=1, 0, (MAX($H6,$G6,$D6,$C6)-$C6)/($F6-1))</f>
        <v>0</v>
      </c>
      <c r="K6" s="20"/>
    </row>
    <row r="7" customFormat="false" ht="12.8" hidden="false" customHeight="true" outlineLevel="0" collapsed="false">
      <c r="A7" s="23" t="s">
        <v>20</v>
      </c>
      <c r="B7" s="17" t="s">
        <v>16</v>
      </c>
      <c r="C7" s="9" t="n">
        <v>6</v>
      </c>
      <c r="D7" s="11" t="n">
        <v>9</v>
      </c>
      <c r="E7" s="11"/>
      <c r="F7" s="11" t="n">
        <v>2</v>
      </c>
      <c r="G7" s="11"/>
      <c r="H7" s="11"/>
      <c r="I7" s="11"/>
      <c r="J7" s="12" t="n">
        <f aca="false">IF($F7=1, 0, (MAX($H7,$G7,$D7,$C7)-$C7)/($F7-1))</f>
        <v>3</v>
      </c>
      <c r="K7" s="24"/>
    </row>
    <row r="8" customFormat="false" ht="12.8" hidden="false" customHeight="true" outlineLevel="0" collapsed="false">
      <c r="A8" s="22" t="s">
        <v>21</v>
      </c>
      <c r="B8" s="6" t="s">
        <v>14</v>
      </c>
      <c r="C8" s="9" t="n">
        <v>6</v>
      </c>
      <c r="D8" s="11" t="n">
        <v>8</v>
      </c>
      <c r="E8" s="11"/>
      <c r="F8" s="11" t="n">
        <v>2</v>
      </c>
      <c r="G8" s="11"/>
      <c r="H8" s="11"/>
      <c r="I8" s="12" t="n">
        <f aca="false">IF($F8=1, 0, (MAX($H8,$G8,$D8,$C8)-$C8)/($F8-1))</f>
        <v>2</v>
      </c>
      <c r="J8" s="13"/>
      <c r="K8" s="20"/>
    </row>
    <row r="9" customFormat="false" ht="12.8" hidden="false" customHeight="true" outlineLevel="0" collapsed="false">
      <c r="A9" s="22" t="s">
        <v>22</v>
      </c>
      <c r="B9" s="6" t="s">
        <v>14</v>
      </c>
      <c r="C9" s="9" t="n">
        <v>8</v>
      </c>
      <c r="D9" s="11" t="n">
        <v>9</v>
      </c>
      <c r="E9" s="11"/>
      <c r="F9" s="11" t="n">
        <v>2</v>
      </c>
      <c r="G9" s="11"/>
      <c r="H9" s="11"/>
      <c r="I9" s="12" t="n">
        <f aca="false">IF($F9=1, 0, (MAX($H9,$G9,$D9,$C9)-$C9)/($F9-1))</f>
        <v>1</v>
      </c>
      <c r="J9" s="21"/>
      <c r="K9" s="20"/>
    </row>
    <row r="10" customFormat="false" ht="12.8" hidden="false" customHeight="true" outlineLevel="0" collapsed="false">
      <c r="A10" s="22" t="s">
        <v>23</v>
      </c>
      <c r="B10" s="6" t="s">
        <v>14</v>
      </c>
      <c r="C10" s="9" t="n">
        <v>8</v>
      </c>
      <c r="D10" s="11" t="n">
        <v>10</v>
      </c>
      <c r="E10" s="11"/>
      <c r="F10" s="11" t="n">
        <v>2</v>
      </c>
      <c r="G10" s="11"/>
      <c r="H10" s="11"/>
      <c r="I10" s="12" t="n">
        <f aca="false">IF($F10=1, 0, (MAX($H10,$G10,$D10,$C10)-$C10)/($F10-1))</f>
        <v>2</v>
      </c>
      <c r="J10" s="21"/>
      <c r="K10" s="20"/>
    </row>
    <row r="11" customFormat="false" ht="12.8" hidden="false" customHeight="true" outlineLevel="0" collapsed="false">
      <c r="A11" s="25" t="s">
        <v>24</v>
      </c>
      <c r="B11" s="25" t="s">
        <v>14</v>
      </c>
      <c r="C11" s="10" t="n">
        <v>7</v>
      </c>
      <c r="D11" s="18" t="n">
        <v>9</v>
      </c>
      <c r="E11" s="18"/>
      <c r="F11" s="18" t="n">
        <v>2</v>
      </c>
      <c r="G11" s="18"/>
      <c r="H11" s="18"/>
      <c r="I11" s="12" t="n">
        <f aca="false">IF($F11=1, 0, (MAX($H11,$G11,$D11,$C11)-$C11)/($F11-1))</f>
        <v>2</v>
      </c>
      <c r="J11" s="13"/>
      <c r="K11" s="24"/>
    </row>
    <row r="12" customFormat="false" ht="12.8" hidden="false" customHeight="true" outlineLevel="0" collapsed="false">
      <c r="A12" s="25" t="s">
        <v>25</v>
      </c>
      <c r="B12" s="25" t="s">
        <v>14</v>
      </c>
      <c r="C12" s="10" t="n">
        <v>6</v>
      </c>
      <c r="D12" s="18" t="n">
        <v>8</v>
      </c>
      <c r="E12" s="18"/>
      <c r="F12" s="18" t="n">
        <v>2</v>
      </c>
      <c r="G12" s="18"/>
      <c r="H12" s="18"/>
      <c r="I12" s="12" t="n">
        <f aca="false">IF($F12=1, 0, (MAX($H12,$G12,$D12,$C12)-$C12)/($F12-1))</f>
        <v>2</v>
      </c>
      <c r="J12" s="18"/>
      <c r="K12" s="26"/>
    </row>
    <row r="13" customFormat="false" ht="12.8" hidden="false" customHeight="true" outlineLevel="0" collapsed="false">
      <c r="A13" s="17" t="s">
        <v>26</v>
      </c>
      <c r="B13" s="17" t="s">
        <v>16</v>
      </c>
      <c r="C13" s="10" t="n">
        <v>6</v>
      </c>
      <c r="D13" s="18" t="n">
        <v>9</v>
      </c>
      <c r="E13" s="18"/>
      <c r="F13" s="18" t="n">
        <v>2</v>
      </c>
      <c r="G13" s="18"/>
      <c r="H13" s="18"/>
      <c r="I13" s="13"/>
      <c r="J13" s="12" t="n">
        <f aca="false">IF($F13=1, 0, (MAX($H13,$G13,$D13,$C13)-$C13)/($F13-1))</f>
        <v>3</v>
      </c>
      <c r="K13" s="20"/>
    </row>
    <row r="14" customFormat="false" ht="12.8" hidden="false" customHeight="true" outlineLevel="0" collapsed="false">
      <c r="A14" s="17" t="s">
        <v>27</v>
      </c>
      <c r="B14" s="17" t="s">
        <v>16</v>
      </c>
      <c r="C14" s="27" t="n">
        <f aca="false">3*10/5</f>
        <v>6</v>
      </c>
      <c r="D14" s="18" t="n">
        <v>10</v>
      </c>
      <c r="E14" s="18"/>
      <c r="F14" s="18" t="n">
        <v>2</v>
      </c>
      <c r="G14" s="18"/>
      <c r="H14" s="18"/>
      <c r="I14" s="18"/>
      <c r="J14" s="12" t="n">
        <f aca="false">IF($F14=1, 0, (MAX($H14,$G14,$D14,$C14)-$C14)/($F14-1))</f>
        <v>4</v>
      </c>
      <c r="K14" s="26"/>
    </row>
    <row r="15" customFormat="false" ht="12.8" hidden="false" customHeight="true" outlineLevel="0" collapsed="false">
      <c r="A15" s="6" t="s">
        <v>28</v>
      </c>
      <c r="B15" s="6" t="s">
        <v>14</v>
      </c>
      <c r="C15" s="27" t="n">
        <f aca="false">4*10/5</f>
        <v>8</v>
      </c>
      <c r="D15" s="18" t="n">
        <f aca="false">4*10/5</f>
        <v>8</v>
      </c>
      <c r="E15" s="18"/>
      <c r="F15" s="18" t="n">
        <v>5</v>
      </c>
      <c r="G15" s="28" t="n">
        <f aca="false">3*10/5</f>
        <v>6</v>
      </c>
      <c r="H15" s="28" t="n">
        <f aca="false">5*10/5</f>
        <v>10</v>
      </c>
      <c r="I15" s="12" t="n">
        <f aca="false">IF($F15=1, 0, (MAX($H15,$G15,$D15,$C15)-$C15)/($F15-1))</f>
        <v>0.5</v>
      </c>
      <c r="J15" s="13"/>
      <c r="K15" s="20"/>
    </row>
    <row r="16" customFormat="false" ht="12.8" hidden="false" customHeight="true" outlineLevel="0" collapsed="false">
      <c r="A16" s="17" t="s">
        <v>29</v>
      </c>
      <c r="B16" s="17" t="s">
        <v>16</v>
      </c>
      <c r="C16" s="27" t="n">
        <f aca="false">4*10/5</f>
        <v>8</v>
      </c>
      <c r="D16" s="28" t="n">
        <f aca="false">5*10/5</f>
        <v>10</v>
      </c>
      <c r="E16" s="18"/>
      <c r="F16" s="18" t="n">
        <v>2</v>
      </c>
      <c r="G16" s="18"/>
      <c r="H16" s="18"/>
      <c r="I16" s="18"/>
      <c r="J16" s="12" t="n">
        <f aca="false">IF($F16=1, 0, (MAX($H16,$G16,$D16,$C16)-$C16)/($F16-1))</f>
        <v>2</v>
      </c>
      <c r="K16" s="24"/>
    </row>
    <row r="17" customFormat="false" ht="12.8" hidden="false" customHeight="true" outlineLevel="0" collapsed="false">
      <c r="A17" s="22" t="s">
        <v>30</v>
      </c>
      <c r="B17" s="6" t="s">
        <v>16</v>
      </c>
      <c r="C17" s="27" t="n">
        <f aca="false">4*10/5</f>
        <v>8</v>
      </c>
      <c r="D17" s="27" t="n">
        <f aca="false">4*10/5</f>
        <v>8</v>
      </c>
      <c r="E17" s="18"/>
      <c r="F17" s="18" t="n">
        <v>2</v>
      </c>
      <c r="G17" s="18"/>
      <c r="H17" s="18"/>
      <c r="I17" s="18"/>
      <c r="J17" s="12" t="n">
        <f aca="false">IF($F17=1, 0, (MAX($H17,$G17,$D17,$C17)-$C17)/($F17-1))</f>
        <v>0</v>
      </c>
      <c r="K17" s="20"/>
    </row>
    <row r="18" customFormat="false" ht="12.8" hidden="false" customHeight="true" outlineLevel="0" collapsed="false">
      <c r="A18" s="25" t="s">
        <v>31</v>
      </c>
      <c r="B18" s="6" t="s">
        <v>14</v>
      </c>
      <c r="C18" s="27" t="n">
        <f aca="false">4*10/5</f>
        <v>8</v>
      </c>
      <c r="D18" s="28" t="n">
        <f aca="false">5*10/5</f>
        <v>10</v>
      </c>
      <c r="E18" s="18"/>
      <c r="F18" s="18" t="n">
        <v>2</v>
      </c>
      <c r="G18" s="18"/>
      <c r="H18" s="18"/>
      <c r="I18" s="12" t="n">
        <f aca="false">IF($F18=1, 0, (MAX($H18,$G18,$D18,$C18)-$C18)/($F18-1))</f>
        <v>2</v>
      </c>
      <c r="J18" s="13"/>
      <c r="K18" s="24"/>
    </row>
    <row r="19" customFormat="false" ht="12.8" hidden="false" customHeight="true" outlineLevel="0" collapsed="false">
      <c r="A19" s="17" t="s">
        <v>32</v>
      </c>
      <c r="B19" s="17" t="s">
        <v>16</v>
      </c>
      <c r="C19" s="28" t="n">
        <f aca="false">3*10/5</f>
        <v>6</v>
      </c>
      <c r="D19" s="28" t="n">
        <f aca="false">5*10/5</f>
        <v>10</v>
      </c>
      <c r="E19" s="18"/>
      <c r="F19" s="18" t="n">
        <v>2</v>
      </c>
      <c r="G19" s="18"/>
      <c r="H19" s="18"/>
      <c r="I19" s="13"/>
      <c r="J19" s="12" t="n">
        <f aca="false">IF($F19=1, 0, (MAX($H19,$G19,$D19,$C19)-$C19)/($F19-1))</f>
        <v>4</v>
      </c>
      <c r="K19" s="20"/>
    </row>
    <row r="20" customFormat="false" ht="12.8" hidden="false" customHeight="true" outlineLevel="0" collapsed="false">
      <c r="A20" s="6" t="s">
        <v>33</v>
      </c>
      <c r="B20" s="6" t="s">
        <v>16</v>
      </c>
      <c r="C20" s="11" t="n">
        <v>7</v>
      </c>
      <c r="D20" s="11" t="n">
        <v>8</v>
      </c>
      <c r="E20" s="11"/>
      <c r="F20" s="11" t="n">
        <v>2</v>
      </c>
      <c r="G20" s="11"/>
      <c r="H20" s="11"/>
      <c r="I20" s="12" t="n">
        <f aca="false">IF($F20=1, 0, (MAX($H20,$G20,$D20,$C20)-$C20)/($F20-1))</f>
        <v>1</v>
      </c>
      <c r="J20" s="13"/>
      <c r="K20" s="24"/>
    </row>
    <row r="21" customFormat="false" ht="12.8" hidden="false" customHeight="true" outlineLevel="0" collapsed="false">
      <c r="A21" s="6" t="s">
        <v>34</v>
      </c>
      <c r="B21" s="6" t="s">
        <v>16</v>
      </c>
      <c r="C21" s="11" t="n">
        <v>5</v>
      </c>
      <c r="D21" s="11" t="n">
        <v>7</v>
      </c>
      <c r="E21" s="11"/>
      <c r="F21" s="11" t="n">
        <v>2</v>
      </c>
      <c r="G21" s="11"/>
      <c r="H21" s="11"/>
      <c r="I21" s="12" t="n">
        <f aca="false">IF($F21=1, 0, (MAX($H21,$G21,$D21,$C21)-$C21)/($F21-1))</f>
        <v>2</v>
      </c>
      <c r="J21" s="13"/>
      <c r="K21" s="20"/>
    </row>
    <row r="22" customFormat="false" ht="12.8" hidden="false" customHeight="true" outlineLevel="0" collapsed="false">
      <c r="A22" s="22" t="s">
        <v>35</v>
      </c>
      <c r="B22" s="6" t="s">
        <v>14</v>
      </c>
      <c r="C22" s="21" t="n">
        <v>8</v>
      </c>
      <c r="D22" s="21" t="n">
        <v>10</v>
      </c>
      <c r="E22" s="21"/>
      <c r="F22" s="21" t="n">
        <v>2</v>
      </c>
      <c r="G22" s="21"/>
      <c r="H22" s="21"/>
      <c r="I22" s="12" t="n">
        <f aca="false">IF($F22=1, 0, (MAX($H22,$G22,$D22,$C22)-$C22)/($F22-1))</f>
        <v>2</v>
      </c>
      <c r="J22" s="12"/>
    </row>
    <row r="23" customFormat="false" ht="12.8" hidden="false" customHeight="true" outlineLevel="0" collapsed="false">
      <c r="A23" s="23" t="s">
        <v>36</v>
      </c>
      <c r="B23" s="17" t="s">
        <v>16</v>
      </c>
      <c r="C23" s="21" t="n">
        <v>9</v>
      </c>
      <c r="D23" s="21" t="n">
        <v>9</v>
      </c>
      <c r="E23" s="21"/>
      <c r="F23" s="21" t="n">
        <v>2</v>
      </c>
      <c r="G23" s="21"/>
      <c r="H23" s="21"/>
      <c r="I23" s="21"/>
      <c r="J23" s="12" t="n">
        <f aca="false">IF($F23=1, 0, (MAX($H23,$G23,$D23,$C23)-$C23)/($F23-1))</f>
        <v>0</v>
      </c>
    </row>
    <row r="24" customFormat="false" ht="12.8" hidden="false" customHeight="true" outlineLevel="0" collapsed="false">
      <c r="A24" s="17" t="s">
        <v>37</v>
      </c>
      <c r="B24" s="17" t="s">
        <v>16</v>
      </c>
      <c r="C24" s="21" t="n">
        <f aca="false">4*10/5</f>
        <v>8</v>
      </c>
      <c r="D24" s="21" t="n">
        <f aca="false">3*10/5</f>
        <v>6</v>
      </c>
      <c r="E24" s="21"/>
      <c r="F24" s="21" t="n">
        <v>2</v>
      </c>
      <c r="G24" s="21"/>
      <c r="H24" s="21"/>
      <c r="I24" s="21"/>
      <c r="J24" s="12" t="n">
        <f aca="false">IF($F24=1, 0, (MAX($H24,$G24,$D24,$C24)-$C24)/($F24-1))</f>
        <v>0</v>
      </c>
    </row>
    <row r="25" customFormat="false" ht="12.8" hidden="false" customHeight="true" outlineLevel="0" collapsed="false">
      <c r="A25" s="6" t="s">
        <v>38</v>
      </c>
      <c r="B25" s="6" t="s">
        <v>14</v>
      </c>
      <c r="C25" s="5" t="n">
        <f aca="false">4*10/5</f>
        <v>8</v>
      </c>
      <c r="D25" s="5" t="n">
        <f aca="false">5*10/5</f>
        <v>10</v>
      </c>
      <c r="E25" s="21"/>
      <c r="F25" s="21" t="n">
        <v>2</v>
      </c>
      <c r="G25" s="21"/>
      <c r="H25" s="21"/>
      <c r="I25" s="12" t="n">
        <f aca="false">IF($F25=1, 0, (MAX($H25,$G25,$D25,$C25)-$C25)/($F25-1))</f>
        <v>2</v>
      </c>
      <c r="J25" s="13"/>
    </row>
    <row r="26" customFormat="false" ht="12.8" hidden="false" customHeight="true" outlineLevel="0" collapsed="false">
      <c r="A26" s="17" t="s">
        <v>39</v>
      </c>
      <c r="B26" s="17" t="s">
        <v>16</v>
      </c>
      <c r="C26" s="5" t="n">
        <f aca="false">4*10/5</f>
        <v>8</v>
      </c>
      <c r="D26" s="5" t="n">
        <f aca="false">4*10/5</f>
        <v>8</v>
      </c>
      <c r="E26" s="21"/>
      <c r="F26" s="21" t="n">
        <v>2</v>
      </c>
      <c r="G26" s="5" t="n">
        <f aca="false">5*10/5</f>
        <v>10</v>
      </c>
      <c r="H26" s="21"/>
      <c r="J26" s="12" t="n">
        <f aca="false">IF($F26=1, 0, (MAX($H26,$G26,$D26,$C26)-$C26)/($F26-1))</f>
        <v>2</v>
      </c>
    </row>
    <row r="27" customFormat="false" ht="12.8" hidden="false" customHeight="true" outlineLevel="0" collapsed="false">
      <c r="A27" s="22" t="s">
        <v>40</v>
      </c>
      <c r="B27" s="6" t="s">
        <v>14</v>
      </c>
      <c r="C27" s="5" t="n">
        <f aca="false">4*10/5</f>
        <v>8</v>
      </c>
      <c r="D27" s="5" t="n">
        <f aca="false">4*10/5</f>
        <v>8</v>
      </c>
      <c r="E27" s="21"/>
      <c r="F27" s="21" t="n">
        <v>2</v>
      </c>
      <c r="G27" s="5" t="n">
        <f aca="false">5*10/5</f>
        <v>10</v>
      </c>
      <c r="H27" s="21"/>
      <c r="I27" s="12" t="n">
        <f aca="false">IF($F27=1, 0, (MAX($H27,$G27,$D27,$C27)-$C27)/($F27-1))</f>
        <v>2</v>
      </c>
      <c r="J27" s="21"/>
    </row>
    <row r="28" customFormat="false" ht="12.8" hidden="false" customHeight="true" outlineLevel="0" collapsed="false">
      <c r="A28" s="6" t="s">
        <v>41</v>
      </c>
      <c r="B28" s="6" t="s">
        <v>14</v>
      </c>
      <c r="C28" s="21" t="n">
        <f aca="false">9*(10/14)</f>
        <v>6.42857142857143</v>
      </c>
      <c r="D28" s="21" t="n">
        <f aca="false">10*(10/14)</f>
        <v>7.14285714285714</v>
      </c>
      <c r="E28" s="21"/>
      <c r="F28" s="21" t="n">
        <v>2</v>
      </c>
      <c r="G28" s="21"/>
      <c r="H28" s="21"/>
      <c r="I28" s="12" t="n">
        <f aca="false">IF($F28=1, 0, (MAX($H28,$G28,$D28,$C28)-$C28)/($F28-1))</f>
        <v>0.714285714285714</v>
      </c>
      <c r="J28" s="21"/>
    </row>
    <row r="29" customFormat="false" ht="12.8" hidden="false" customHeight="true" outlineLevel="0" collapsed="false">
      <c r="A29" s="17" t="s">
        <v>42</v>
      </c>
      <c r="B29" s="17" t="s">
        <v>16</v>
      </c>
      <c r="C29" s="21" t="n">
        <f aca="false">11*(10/14)</f>
        <v>7.85714285714286</v>
      </c>
      <c r="D29" s="21" t="n">
        <f aca="false">8*(10/14)</f>
        <v>5.71428571428571</v>
      </c>
      <c r="E29" s="21"/>
      <c r="F29" s="21" t="n">
        <v>2</v>
      </c>
      <c r="G29" s="21"/>
      <c r="H29" s="21"/>
      <c r="J29" s="12" t="n">
        <f aca="false">IF($F29=1, 0, (MAX($H29,$G29,$D29,$C29)-$C29)/($F29-1))</f>
        <v>0</v>
      </c>
    </row>
    <row r="30" customFormat="false" ht="12.8" hidden="false" customHeight="true" outlineLevel="0" collapsed="false">
      <c r="A30" s="6" t="s">
        <v>43</v>
      </c>
      <c r="B30" s="6" t="s">
        <v>14</v>
      </c>
      <c r="C30" s="21" t="n">
        <f aca="false">(10/14)*7</f>
        <v>5</v>
      </c>
      <c r="D30" s="21" t="n">
        <f aca="false">(10/14)*12</f>
        <v>8.57142857142857</v>
      </c>
      <c r="E30" s="21"/>
      <c r="F30" s="21" t="n">
        <v>2</v>
      </c>
      <c r="G30" s="21"/>
      <c r="H30" s="21"/>
      <c r="I30" s="12" t="n">
        <f aca="false">IF($F30=1, 0, (MAX($H30,$G30,$D30,$C30)-$C30)/($F30-1))</f>
        <v>3.57142857142857</v>
      </c>
      <c r="J30" s="12"/>
    </row>
    <row r="31" customFormat="false" ht="12.8" hidden="false" customHeight="true" outlineLevel="0" collapsed="false">
      <c r="A31" s="6" t="s">
        <v>44</v>
      </c>
      <c r="B31" s="6" t="s">
        <v>16</v>
      </c>
      <c r="C31" s="21" t="n">
        <f aca="false">(10/14)*13</f>
        <v>9.28571428571429</v>
      </c>
      <c r="D31" s="21" t="n">
        <f aca="false">(10/14)*13</f>
        <v>9.28571428571429</v>
      </c>
      <c r="E31" s="21"/>
      <c r="F31" s="21" t="n">
        <v>2</v>
      </c>
      <c r="G31" s="21"/>
      <c r="H31" s="21"/>
      <c r="I31" s="12"/>
      <c r="J31" s="12" t="n">
        <f aca="false">IF($F31=1, 0, (MAX($H31,$G31,$D31,$C31)-$C31)/($F31-1))</f>
        <v>0</v>
      </c>
    </row>
    <row r="32" customFormat="false" ht="12.8" hidden="false" customHeight="true" outlineLevel="0" collapsed="false">
      <c r="A32" s="6" t="s">
        <v>45</v>
      </c>
      <c r="B32" s="6" t="s">
        <v>14</v>
      </c>
      <c r="C32" s="21" t="n">
        <f aca="false">(10/14)*4</f>
        <v>2.85714285714286</v>
      </c>
      <c r="D32" s="21" t="n">
        <f aca="false">(10/14)*11</f>
        <v>7.85714285714286</v>
      </c>
      <c r="E32" s="21"/>
      <c r="F32" s="21" t="n">
        <v>2</v>
      </c>
      <c r="G32" s="21"/>
      <c r="H32" s="21"/>
      <c r="I32" s="12" t="n">
        <f aca="false">IF($F32=1, 0, (MAX($H32,$G32,$D32,$C32)-$C32)/($F32-1))</f>
        <v>5</v>
      </c>
      <c r="J32" s="21"/>
    </row>
    <row r="33" customFormat="false" ht="12.8" hidden="false" customHeight="true" outlineLevel="0" collapsed="false">
      <c r="A33" s="6" t="s">
        <v>46</v>
      </c>
      <c r="B33" s="6" t="s">
        <v>14</v>
      </c>
      <c r="C33" s="21" t="n">
        <f aca="false">(10/14)*10</f>
        <v>7.14285714285714</v>
      </c>
      <c r="D33" s="21" t="n">
        <f aca="false">(10/14)*12</f>
        <v>8.57142857142857</v>
      </c>
      <c r="E33" s="21"/>
      <c r="F33" s="21" t="n">
        <v>2</v>
      </c>
      <c r="G33" s="21"/>
      <c r="H33" s="21"/>
      <c r="I33" s="12" t="n">
        <f aca="false">IF($F33=1, 0, (MAX($H33,$G33,$D33,$C33)-$C33)/($F33-1))</f>
        <v>1.42857142857143</v>
      </c>
      <c r="J33" s="21"/>
    </row>
    <row r="34" customFormat="false" ht="12.8" hidden="false" customHeight="true" outlineLevel="0" collapsed="false">
      <c r="A34" s="17" t="s">
        <v>47</v>
      </c>
      <c r="B34" s="17" t="s">
        <v>16</v>
      </c>
      <c r="C34" s="21" t="n">
        <f aca="false">(10/14)*7</f>
        <v>5</v>
      </c>
      <c r="D34" s="21" t="n">
        <f aca="false">(10/14)*9</f>
        <v>6.42857142857143</v>
      </c>
      <c r="E34" s="21"/>
      <c r="F34" s="21" t="n">
        <v>3</v>
      </c>
      <c r="G34" s="21" t="n">
        <f aca="false">(10/14)*9</f>
        <v>6.42857142857143</v>
      </c>
      <c r="H34" s="21"/>
      <c r="J34" s="12" t="n">
        <f aca="false">IF($F34=1, 0, (MAX($H34,$G34,$D34,$C34)-$C34)/($F34-1))</f>
        <v>0.714285714285714</v>
      </c>
    </row>
    <row r="35" customFormat="false" ht="12.8" hidden="false" customHeight="true" outlineLevel="0" collapsed="false">
      <c r="A35" s="17" t="s">
        <v>48</v>
      </c>
      <c r="B35" s="17" t="s">
        <v>16</v>
      </c>
      <c r="C35" s="21" t="n">
        <f aca="false">(10/14)*12</f>
        <v>8.57142857142857</v>
      </c>
      <c r="D35" s="21" t="n">
        <f aca="false">(10/14)*11</f>
        <v>7.85714285714286</v>
      </c>
      <c r="E35" s="21"/>
      <c r="F35" s="21" t="n">
        <v>3</v>
      </c>
      <c r="G35" s="21" t="n">
        <f aca="false">(10/14)*12</f>
        <v>8.57142857142857</v>
      </c>
      <c r="H35" s="21"/>
      <c r="I35" s="21"/>
      <c r="J35" s="12" t="n">
        <f aca="false">IF($F35=1, 0, (MAX($H35,$G35,$D35,$C35)-$C35)/($F35-1))</f>
        <v>0</v>
      </c>
    </row>
    <row r="36" customFormat="false" ht="12.8" hidden="false" customHeight="true" outlineLevel="0" collapsed="false">
      <c r="A36" s="22" t="s">
        <v>49</v>
      </c>
      <c r="B36" s="6" t="s">
        <v>14</v>
      </c>
      <c r="C36" s="21" t="n">
        <f aca="false">(10/14)*11</f>
        <v>7.85714285714286</v>
      </c>
      <c r="D36" s="21" t="n">
        <f aca="false">(10/14)*13</f>
        <v>9.28571428571429</v>
      </c>
      <c r="E36" s="21"/>
      <c r="F36" s="21" t="n">
        <v>2</v>
      </c>
      <c r="G36" s="21"/>
      <c r="H36" s="21"/>
      <c r="I36" s="12" t="n">
        <f aca="false">IF($F36=1, 0, (MAX($H36,$G36,$D36,$C36)-$C36)/($F36-1))</f>
        <v>1.42857142857143</v>
      </c>
      <c r="J36" s="12"/>
    </row>
    <row r="37" customFormat="false" ht="12.8" hidden="false" customHeight="true" outlineLevel="0" collapsed="false">
      <c r="A37" s="23" t="s">
        <v>50</v>
      </c>
      <c r="B37" s="17" t="s">
        <v>16</v>
      </c>
      <c r="C37" s="21" t="n">
        <f aca="false">(10/14)*10</f>
        <v>7.14285714285714</v>
      </c>
      <c r="D37" s="21" t="n">
        <f aca="false">(10/14)*11</f>
        <v>7.85714285714286</v>
      </c>
      <c r="E37" s="21"/>
      <c r="F37" s="21" t="n">
        <v>2</v>
      </c>
      <c r="G37" s="21"/>
      <c r="H37" s="21"/>
      <c r="I37" s="21"/>
      <c r="J37" s="12" t="n">
        <f aca="false">IF($F37=1, 0, (MAX($H37,$G37,$D37,$C37)-$C37)/($F37-1))</f>
        <v>0.714285714285714</v>
      </c>
    </row>
    <row r="38" customFormat="false" ht="12.8" hidden="false" customHeight="true" outlineLevel="0" collapsed="false">
      <c r="A38" s="23" t="s">
        <v>51</v>
      </c>
      <c r="B38" s="17" t="s">
        <v>16</v>
      </c>
      <c r="C38" s="21" t="n">
        <f aca="false">(10/14)*13</f>
        <v>9.28571428571429</v>
      </c>
      <c r="D38" s="21" t="n">
        <f aca="false">(10/14)*10</f>
        <v>7.14285714285714</v>
      </c>
      <c r="E38" s="21"/>
      <c r="F38" s="21" t="n">
        <v>3</v>
      </c>
      <c r="G38" s="21" t="n">
        <f aca="false">(10/14)*11</f>
        <v>7.85714285714286</v>
      </c>
      <c r="H38" s="21"/>
      <c r="I38" s="21"/>
      <c r="J38" s="12" t="n">
        <f aca="false">IF($F38=1, 0, (MAX($H38,$G38,$D38,$C38)-$C38)/($F38-1))</f>
        <v>0</v>
      </c>
    </row>
    <row r="40" customFormat="false" ht="12.8" hidden="false" customHeight="true" outlineLevel="0" collapsed="false">
      <c r="A40" s="1"/>
    </row>
    <row r="41" customFormat="false" ht="12.8" hidden="false" customHeight="true" outlineLevel="0" collapsed="false">
      <c r="A4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cp:lastPrinted>2025-10-19T19:28:08Z</cp:lastPrinted>
  <dcterms:modified xsi:type="dcterms:W3CDTF">2025-12-16T17:23:16Z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