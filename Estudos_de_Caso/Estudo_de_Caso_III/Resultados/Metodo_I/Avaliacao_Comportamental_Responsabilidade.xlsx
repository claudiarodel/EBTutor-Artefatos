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<sst xmlns="http://schemas.openxmlformats.org/spreadsheetml/2006/main" count="152" uniqueCount="22">
  <si>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</si>
  <si>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</si>
  <si>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</si>
  <si>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</si>
  <si>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</si>
  <si>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</si>
  <si>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</si>
  <si>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</si>
  <si>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</si>
  <si>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</si>
  <si>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</si>
  <si>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</si>
  <si>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</si>
  <si>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</si>
  <si>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</si>
  <si>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</si>
  <si>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MB</t>
  </si>
  <si>
    <t xml:space="preserve">E</t>
  </si>
  <si>
    <t xml:space="preserve">intervenção</t>
  </si>
  <si>
    <t xml:space="preserve">controle</t>
  </si>
  <si>
    <t xml:space="preserve">B</t>
  </si>
  <si>
    <t xml:space="preserve">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</si>
</sst>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#.000"/>
    <numFmt numFmtId="167" formatCode="#,##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11111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5" t="s">
        <v>14</v>
      </c>
      <c r="B2" s="5" t="s">
        <v>15</v>
      </c>
      <c r="C2" s="6" t="n">
        <v>3.45</v>
      </c>
      <c r="D2" s="6" t="s">
        <v>16</v>
      </c>
      <c r="E2" s="6" t="n">
        <v>8.7</v>
      </c>
      <c r="F2" s="6" t="s">
        <v>17</v>
      </c>
      <c r="G2" s="7" t="n">
        <v>10</v>
      </c>
      <c r="H2" s="8" t="n">
        <f aca="false">E2-C2</f>
        <v>5.25</v>
      </c>
      <c r="I2" s="8"/>
      <c r="J2" s="9"/>
      <c r="K2" s="9" t="n">
        <f aca="false">(E2-C2)/(10-C2)</f>
        <v>0.801526717557252</v>
      </c>
      <c r="L2" s="1" t="s">
        <v>18</v>
      </c>
      <c r="M2" s="10" t="n">
        <f aca="false">AVERAGE(K1:K40)</f>
        <v>0.860583695331281</v>
      </c>
      <c r="N2" s="10" t="n">
        <f aca="false">MEDIAN(K1:K40)</f>
        <v>0.828940154358737</v>
      </c>
      <c r="O2" s="10" t="n">
        <f aca="false">STDEV(K1:K40)</f>
        <v>0.0712505699885622</v>
      </c>
    </row>
    <row r="3" customFormat="false" ht="12.8" hidden="false" customHeight="false" outlineLevel="0" collapsed="false">
      <c r="A3" s="11" t="s">
        <v>19</v>
      </c>
      <c r="B3" s="11" t="s">
        <v>15</v>
      </c>
      <c r="C3" s="12" t="n">
        <v>3.45</v>
      </c>
      <c r="D3" s="13" t="s">
        <v>20</v>
      </c>
      <c r="E3" s="13" t="n">
        <v>6.45</v>
      </c>
      <c r="F3" s="12" t="s">
        <v>17</v>
      </c>
      <c r="G3" s="14" t="n">
        <v>9.5</v>
      </c>
      <c r="H3" s="15"/>
      <c r="I3" s="15" t="n">
        <f aca="false">E3-C3</f>
        <v>3</v>
      </c>
      <c r="J3" s="16" t="n">
        <f aca="false">(E3-C3)/(10-C3)</f>
        <v>0.458015267175573</v>
      </c>
      <c r="K3" s="16"/>
    </row>
    <row r="4" customFormat="false" ht="12.8" hidden="false" customHeight="false" outlineLevel="0" collapsed="false">
      <c r="A4" s="11" t="s">
        <v>19</v>
      </c>
      <c r="B4" s="11" t="s">
        <v>15</v>
      </c>
      <c r="C4" s="12" t="n">
        <v>3.45</v>
      </c>
      <c r="D4" s="12" t="s">
        <v>16</v>
      </c>
      <c r="E4" s="12" t="n">
        <v>8.7</v>
      </c>
      <c r="F4" s="12" t="s">
        <v>17</v>
      </c>
      <c r="G4" s="14" t="n">
        <v>9.667</v>
      </c>
      <c r="H4" s="15"/>
      <c r="I4" s="15" t="n">
        <f aca="false">E4-C4</f>
        <v>5.25</v>
      </c>
      <c r="J4" s="16" t="n">
        <f aca="false">(E4-C4)/(10-C4)</f>
        <v>0.801526717557252</v>
      </c>
      <c r="K4" s="16"/>
    </row>
    <row r="5" customFormat="false" ht="12.8" hidden="false" customHeight="false" outlineLevel="0" collapsed="false">
      <c r="A5" s="5" t="s">
        <v>14</v>
      </c>
      <c r="B5" s="5" t="s">
        <v>15</v>
      </c>
      <c r="C5" s="6" t="n">
        <v>3.45</v>
      </c>
      <c r="D5" s="6" t="s">
        <v>17</v>
      </c>
      <c r="E5" s="6" t="n">
        <v>9.75</v>
      </c>
      <c r="F5" s="6" t="s">
        <v>16</v>
      </c>
      <c r="G5" s="7" t="n">
        <v>9</v>
      </c>
      <c r="H5" s="8" t="n">
        <f aca="false">E5-C5</f>
        <v>6.3</v>
      </c>
      <c r="I5" s="8"/>
      <c r="J5" s="9"/>
      <c r="K5" s="9" t="n">
        <f aca="false">(E5-C5)/(10-C5)</f>
        <v>0.961832061068702</v>
      </c>
      <c r="L5" s="1" t="s">
        <v>19</v>
      </c>
      <c r="M5" s="10" t="n">
        <f aca="false">AVERAGE(J1:J40)</f>
        <v>0.715590408886621</v>
      </c>
      <c r="N5" s="10" t="n">
        <f aca="false">MEDIAN(J1:J40)</f>
        <v>0.801526717557252</v>
      </c>
      <c r="O5" s="10" t="n">
        <f aca="false">STDEV(J1:J40)</f>
        <v>0.230584172253484</v>
      </c>
    </row>
    <row r="6" customFormat="false" ht="12.8" hidden="false" customHeight="false" outlineLevel="0" collapsed="false">
      <c r="A6" s="5" t="s">
        <v>14</v>
      </c>
      <c r="B6" s="5" t="s">
        <v>15</v>
      </c>
      <c r="C6" s="6" t="n">
        <v>3.45</v>
      </c>
      <c r="D6" s="6" t="s">
        <v>17</v>
      </c>
      <c r="E6" s="6" t="n">
        <v>9.75</v>
      </c>
      <c r="F6" s="6" t="s">
        <v>17</v>
      </c>
      <c r="G6" s="7" t="n">
        <v>9.667</v>
      </c>
      <c r="H6" s="8" t="n">
        <f aca="false">E6-C6</f>
        <v>6.3</v>
      </c>
      <c r="I6" s="8"/>
      <c r="J6" s="9"/>
      <c r="K6" s="9" t="n">
        <f aca="false">(E6-C6)/(10-C6)</f>
        <v>0.961832061068702</v>
      </c>
    </row>
    <row r="7" customFormat="false" ht="12.8" hidden="false" customHeight="false" outlineLevel="0" collapsed="false">
      <c r="A7" s="11" t="s">
        <v>19</v>
      </c>
      <c r="B7" s="11" t="s">
        <v>15</v>
      </c>
      <c r="C7" s="12" t="n">
        <v>3.45</v>
      </c>
      <c r="D7" s="12" t="s">
        <v>16</v>
      </c>
      <c r="E7" s="12" t="n">
        <v>8.7</v>
      </c>
      <c r="F7" s="12" t="s">
        <v>17</v>
      </c>
      <c r="G7" s="14" t="n">
        <v>9.667</v>
      </c>
      <c r="H7" s="15"/>
      <c r="I7" s="15" t="n">
        <f aca="false">E7-C7</f>
        <v>5.25</v>
      </c>
      <c r="J7" s="16" t="n">
        <f aca="false">(E7-C7)/(10-C7)</f>
        <v>0.801526717557252</v>
      </c>
      <c r="K7" s="16"/>
    </row>
    <row r="8" customFormat="false" ht="12.8" hidden="false" customHeight="false" outlineLevel="0" collapsed="false">
      <c r="A8" s="11" t="s">
        <v>19</v>
      </c>
      <c r="B8" s="11" t="s">
        <v>15</v>
      </c>
      <c r="C8" s="12" t="n">
        <v>3.45</v>
      </c>
      <c r="D8" s="12" t="s">
        <v>16</v>
      </c>
      <c r="E8" s="12" t="n">
        <v>8.7</v>
      </c>
      <c r="F8" s="12" t="s">
        <v>17</v>
      </c>
      <c r="G8" s="14" t="n">
        <v>10</v>
      </c>
      <c r="H8" s="15"/>
      <c r="I8" s="15" t="n">
        <f aca="false">E8-C8</f>
        <v>5.25</v>
      </c>
      <c r="J8" s="16" t="n">
        <f aca="false">(E8-C8)/(10-C8)</f>
        <v>0.801526717557252</v>
      </c>
      <c r="K8" s="16"/>
    </row>
    <row r="9" customFormat="false" ht="12.8" hidden="false" customHeight="false" outlineLevel="0" collapsed="false">
      <c r="A9" s="5" t="s">
        <v>14</v>
      </c>
      <c r="B9" s="5" t="s">
        <v>15</v>
      </c>
      <c r="C9" s="6" t="n">
        <v>3.45</v>
      </c>
      <c r="D9" s="6" t="s">
        <v>16</v>
      </c>
      <c r="E9" s="6" t="n">
        <v>8.7</v>
      </c>
      <c r="F9" s="6" t="s">
        <v>17</v>
      </c>
      <c r="G9" s="7" t="n">
        <v>9.667</v>
      </c>
      <c r="H9" s="8" t="n">
        <f aca="false">E9-C9</f>
        <v>5.25</v>
      </c>
      <c r="I9" s="8"/>
      <c r="J9" s="9"/>
      <c r="K9" s="9" t="n">
        <f aca="false">(E9-C9)/(10-C9)</f>
        <v>0.801526717557252</v>
      </c>
    </row>
    <row r="10" customFormat="false" ht="12.8" hidden="false" customHeight="false" outlineLevel="0" collapsed="false">
      <c r="A10" s="5" t="s">
        <v>14</v>
      </c>
      <c r="B10" s="5" t="s">
        <v>15</v>
      </c>
      <c r="C10" s="17" t="n">
        <v>3.45</v>
      </c>
      <c r="D10" s="6" t="s">
        <v>17</v>
      </c>
      <c r="E10" s="6" t="n">
        <v>9.75</v>
      </c>
      <c r="F10" s="6" t="s">
        <v>17</v>
      </c>
      <c r="G10" s="7" t="n">
        <v>9.667</v>
      </c>
      <c r="H10" s="8" t="n">
        <f aca="false">E10-C10</f>
        <v>6.3</v>
      </c>
      <c r="I10" s="8"/>
      <c r="J10" s="9"/>
      <c r="K10" s="9" t="n">
        <f aca="false">(E10-C10)/(10-C10)</f>
        <v>0.961832061068702</v>
      </c>
    </row>
    <row r="11" customFormat="false" ht="12.8" hidden="false" customHeight="false" outlineLevel="0" collapsed="false">
      <c r="A11" s="11" t="s">
        <v>19</v>
      </c>
      <c r="B11" s="11" t="s">
        <v>15</v>
      </c>
      <c r="C11" s="18" t="n">
        <v>3.45</v>
      </c>
      <c r="D11" s="12" t="s">
        <v>16</v>
      </c>
      <c r="E11" s="12" t="n">
        <v>8.7</v>
      </c>
      <c r="F11" s="12" t="s">
        <v>17</v>
      </c>
      <c r="G11" s="12" t="n">
        <v>10</v>
      </c>
      <c r="H11" s="15"/>
      <c r="I11" s="15" t="n">
        <f aca="false">E11-C11</f>
        <v>5.25</v>
      </c>
      <c r="J11" s="16" t="n">
        <f aca="false">(E11-C11)/(10-C11)</f>
        <v>0.801526717557252</v>
      </c>
      <c r="K11" s="16"/>
    </row>
    <row r="12" customFormat="false" ht="12.8" hidden="false" customHeight="false" outlineLevel="0" collapsed="false">
      <c r="A12" s="5" t="s">
        <v>14</v>
      </c>
      <c r="B12" s="19" t="s">
        <v>15</v>
      </c>
      <c r="C12" s="17" t="n">
        <v>3.45</v>
      </c>
      <c r="D12" s="6" t="s">
        <v>16</v>
      </c>
      <c r="E12" s="6" t="n">
        <v>8.7</v>
      </c>
      <c r="F12" s="6" t="s">
        <v>17</v>
      </c>
      <c r="G12" s="7" t="n">
        <v>10</v>
      </c>
      <c r="H12" s="8" t="n">
        <f aca="false">E12-C12</f>
        <v>5.25</v>
      </c>
      <c r="I12" s="8"/>
      <c r="J12" s="9"/>
      <c r="K12" s="9" t="n">
        <f aca="false">(E12-C12)/(10-C12)</f>
        <v>0.801526717557252</v>
      </c>
    </row>
    <row r="13" customFormat="false" ht="12.8" hidden="false" customHeight="false" outlineLevel="0" collapsed="false">
      <c r="A13" s="11" t="s">
        <v>19</v>
      </c>
      <c r="B13" s="11" t="s">
        <v>15</v>
      </c>
      <c r="C13" s="18" t="n">
        <v>3.45</v>
      </c>
      <c r="D13" s="12" t="s">
        <v>16</v>
      </c>
      <c r="E13" s="12" t="n">
        <v>8.7</v>
      </c>
      <c r="F13" s="12" t="s">
        <v>17</v>
      </c>
      <c r="G13" s="14" t="n">
        <v>9.667</v>
      </c>
      <c r="H13" s="15"/>
      <c r="I13" s="15" t="n">
        <f aca="false">E13-C13</f>
        <v>5.25</v>
      </c>
      <c r="J13" s="16" t="n">
        <f aca="false">(E13-C13)/(10-C13)</f>
        <v>0.801526717557252</v>
      </c>
      <c r="K13" s="16"/>
    </row>
    <row r="14" customFormat="false" ht="12.8" hidden="false" customHeight="false" outlineLevel="0" collapsed="false">
      <c r="A14" s="5" t="s">
        <v>14</v>
      </c>
      <c r="B14" s="5" t="s">
        <v>15</v>
      </c>
      <c r="C14" s="17" t="n">
        <v>3.45</v>
      </c>
      <c r="D14" s="6" t="s">
        <v>17</v>
      </c>
      <c r="E14" s="6" t="n">
        <v>9.75</v>
      </c>
      <c r="F14" s="6" t="s">
        <v>17</v>
      </c>
      <c r="G14" s="7" t="n">
        <v>9.833</v>
      </c>
      <c r="H14" s="8" t="n">
        <f aca="false">E14-C14</f>
        <v>6.3</v>
      </c>
      <c r="I14" s="8"/>
      <c r="J14" s="9"/>
      <c r="K14" s="9" t="n">
        <f aca="false">(E14-C14)/(10-C14)</f>
        <v>0.961832061068702</v>
      </c>
    </row>
    <row r="15" customFormat="false" ht="12.8" hidden="false" customHeight="false" outlineLevel="0" collapsed="false">
      <c r="A15" s="5" t="s">
        <v>14</v>
      </c>
      <c r="B15" s="5" t="s">
        <v>15</v>
      </c>
      <c r="C15" s="17" t="n">
        <v>3.45</v>
      </c>
      <c r="D15" s="6" t="s">
        <v>16</v>
      </c>
      <c r="E15" s="6" t="n">
        <v>8.7</v>
      </c>
      <c r="F15" s="6" t="s">
        <v>17</v>
      </c>
      <c r="G15" s="7" t="n">
        <v>9.667</v>
      </c>
      <c r="H15" s="8" t="n">
        <f aca="false">E15-C15</f>
        <v>5.25</v>
      </c>
      <c r="I15" s="8"/>
      <c r="J15" s="9"/>
      <c r="K15" s="9" t="n">
        <f aca="false">(E15-C15)/(10-C15)</f>
        <v>0.801526717557252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2.8" hidden="false" customHeight="false" outlineLevel="0" collapsed="false">
      <c r="A16" s="5" t="s">
        <v>14</v>
      </c>
      <c r="B16" s="5" t="s">
        <v>15</v>
      </c>
      <c r="C16" s="17" t="n">
        <v>3.45</v>
      </c>
      <c r="D16" s="6" t="s">
        <v>16</v>
      </c>
      <c r="E16" s="6" t="n">
        <v>8.7</v>
      </c>
      <c r="F16" s="6" t="s">
        <v>16</v>
      </c>
      <c r="G16" s="7" t="n">
        <v>9.333</v>
      </c>
      <c r="H16" s="8" t="n">
        <f aca="false">E16-C16</f>
        <v>5.25</v>
      </c>
      <c r="I16" s="8"/>
      <c r="J16" s="9"/>
      <c r="K16" s="9" t="n">
        <f aca="false">(E16-C16)/(10-C16)</f>
        <v>0.801526717557252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2.8" hidden="false" customHeight="false" outlineLevel="0" collapsed="false">
      <c r="A17" s="5" t="s">
        <v>14</v>
      </c>
      <c r="B17" s="5" t="s">
        <v>15</v>
      </c>
      <c r="C17" s="17" t="n">
        <v>3.45</v>
      </c>
      <c r="D17" s="6" t="s">
        <v>16</v>
      </c>
      <c r="E17" s="6" t="n">
        <v>8.7</v>
      </c>
      <c r="F17" s="6" t="s">
        <v>17</v>
      </c>
      <c r="G17" s="7" t="n">
        <v>9.833</v>
      </c>
      <c r="H17" s="8" t="n">
        <f aca="false">E17-C17</f>
        <v>5.25</v>
      </c>
      <c r="I17" s="8"/>
      <c r="J17" s="9"/>
      <c r="K17" s="9" t="n">
        <f aca="false">(E17-C17)/(10-C17)</f>
        <v>0.801526717557252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2.8" hidden="false" customHeight="false" outlineLevel="0" collapsed="false">
      <c r="A18" s="2" t="s">
        <v>14</v>
      </c>
      <c r="B18" s="5" t="s">
        <v>15</v>
      </c>
      <c r="C18" s="17" t="n">
        <v>3.45</v>
      </c>
      <c r="D18" s="6" t="s">
        <v>16</v>
      </c>
      <c r="E18" s="6" t="n">
        <v>8.7</v>
      </c>
      <c r="F18" s="21" t="s">
        <v>17</v>
      </c>
      <c r="G18" s="21" t="n">
        <v>9.833</v>
      </c>
      <c r="H18" s="8" t="n">
        <f aca="false">E18-C18</f>
        <v>5.25</v>
      </c>
      <c r="I18" s="22"/>
      <c r="J18" s="23"/>
      <c r="K18" s="9" t="n">
        <f aca="false">(E18-C18)/(10-C18)</f>
        <v>0.801526717557252</v>
      </c>
      <c r="L18" s="20"/>
      <c r="M18" s="20"/>
      <c r="N18" s="20"/>
      <c r="O18" s="20"/>
      <c r="P18" s="20"/>
    </row>
    <row r="19" customFormat="false" ht="12.8" hidden="false" customHeight="false" outlineLevel="0" collapsed="false">
      <c r="A19" s="2" t="s">
        <v>14</v>
      </c>
      <c r="B19" s="5" t="s">
        <v>15</v>
      </c>
      <c r="C19" s="17" t="n">
        <v>3.45</v>
      </c>
      <c r="D19" s="6" t="s">
        <v>16</v>
      </c>
      <c r="E19" s="6" t="n">
        <v>8.7</v>
      </c>
      <c r="F19" s="21" t="s">
        <v>17</v>
      </c>
      <c r="G19" s="21" t="n">
        <v>9.5</v>
      </c>
      <c r="H19" s="8" t="n">
        <f aca="false">E19-C19</f>
        <v>5.25</v>
      </c>
      <c r="I19" s="22"/>
      <c r="J19" s="23"/>
      <c r="K19" s="9" t="n">
        <f aca="false">(E19-C19)/(10-C19)</f>
        <v>0.801526717557252</v>
      </c>
      <c r="L19" s="20"/>
      <c r="M19" s="20"/>
      <c r="N19" s="20"/>
      <c r="O19" s="20"/>
      <c r="P19" s="20"/>
    </row>
    <row r="20" customFormat="false" ht="12.8" hidden="false" customHeight="true" outlineLevel="0" collapsed="false">
      <c r="A20" s="11" t="s">
        <v>19</v>
      </c>
      <c r="B20" s="11" t="s">
        <v>15</v>
      </c>
      <c r="C20" s="18" t="n">
        <v>3.45</v>
      </c>
      <c r="D20" s="14" t="s">
        <v>15</v>
      </c>
      <c r="E20" s="14" t="n">
        <v>3.45</v>
      </c>
      <c r="F20" s="14" t="s">
        <v>17</v>
      </c>
      <c r="G20" s="14" t="n">
        <v>9.833</v>
      </c>
      <c r="H20" s="24"/>
      <c r="I20" s="14" t="n">
        <f aca="false">E20-C20</f>
        <v>0</v>
      </c>
      <c r="J20" s="14" t="n">
        <f aca="false">(E20-C20)/(10-C20)</f>
        <v>0</v>
      </c>
      <c r="K20" s="25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2.8" hidden="false" customHeight="false" outlineLevel="0" collapsed="false">
      <c r="A21" s="11" t="s">
        <v>19</v>
      </c>
      <c r="B21" s="11" t="s">
        <v>15</v>
      </c>
      <c r="C21" s="18" t="n">
        <v>3.45</v>
      </c>
      <c r="D21" s="11" t="s">
        <v>16</v>
      </c>
      <c r="E21" s="14" t="n">
        <v>8.7</v>
      </c>
      <c r="F21" s="11" t="s">
        <v>17</v>
      </c>
      <c r="G21" s="11" t="n">
        <v>9.667</v>
      </c>
      <c r="H21" s="26"/>
      <c r="I21" s="14" t="n">
        <f aca="false">E21-C21</f>
        <v>5.25</v>
      </c>
      <c r="J21" s="14" t="n">
        <f aca="false">(E21-C21)/(10-C21)</f>
        <v>0.801526717557252</v>
      </c>
      <c r="K21" s="26"/>
    </row>
    <row r="22" customFormat="false" ht="12.8" hidden="false" customHeight="true" outlineLevel="0" collapsed="false">
      <c r="A22" s="5" t="s">
        <v>14</v>
      </c>
      <c r="B22" s="5" t="s">
        <v>21</v>
      </c>
      <c r="C22" s="17" t="n">
        <v>0.95</v>
      </c>
      <c r="D22" s="6" t="s">
        <v>16</v>
      </c>
      <c r="E22" s="6" t="n">
        <v>8.7</v>
      </c>
      <c r="F22" s="6" t="s">
        <v>17</v>
      </c>
      <c r="G22" s="7" t="n">
        <v>10</v>
      </c>
      <c r="H22" s="8" t="n">
        <f aca="false">E22-C22</f>
        <v>7.75</v>
      </c>
      <c r="I22" s="8"/>
      <c r="J22" s="9"/>
      <c r="K22" s="9" t="n">
        <f aca="false">(E22-C22)/(10-C22)</f>
        <v>0.856353591160221</v>
      </c>
    </row>
    <row r="23" customFormat="false" ht="12.8" hidden="false" customHeight="true" outlineLevel="0" collapsed="false">
      <c r="A23" s="11" t="s">
        <v>19</v>
      </c>
      <c r="B23" s="11" t="s">
        <v>15</v>
      </c>
      <c r="C23" s="18" t="n">
        <v>3.45</v>
      </c>
      <c r="D23" s="13" t="s">
        <v>16</v>
      </c>
      <c r="E23" s="13" t="n">
        <v>8.7</v>
      </c>
      <c r="F23" s="12" t="s">
        <v>17</v>
      </c>
      <c r="G23" s="14" t="n">
        <v>10</v>
      </c>
      <c r="H23" s="15"/>
      <c r="I23" s="15" t="n">
        <f aca="false">E23-C23</f>
        <v>5.25</v>
      </c>
      <c r="J23" s="16" t="n">
        <f aca="false">(E23-C23)/(10-C23)</f>
        <v>0.801526717557252</v>
      </c>
      <c r="K23" s="16"/>
    </row>
    <row r="24" customFormat="false" ht="12.8" hidden="false" customHeight="true" outlineLevel="0" collapsed="false">
      <c r="A24" s="5" t="s">
        <v>14</v>
      </c>
      <c r="B24" s="5" t="s">
        <v>21</v>
      </c>
      <c r="C24" s="17" t="n">
        <v>0.95</v>
      </c>
      <c r="D24" s="6" t="s">
        <v>16</v>
      </c>
      <c r="E24" s="6" t="n">
        <v>8.7</v>
      </c>
      <c r="F24" s="6" t="s">
        <v>17</v>
      </c>
      <c r="G24" s="7" t="n">
        <v>10</v>
      </c>
      <c r="H24" s="8" t="n">
        <f aca="false">E24-C24</f>
        <v>7.75</v>
      </c>
      <c r="I24" s="8"/>
      <c r="J24" s="9"/>
      <c r="K24" s="9" t="n">
        <f aca="false">(E24-C24)/(10-C24)</f>
        <v>0.856353591160221</v>
      </c>
    </row>
    <row r="25" customFormat="false" ht="12.8" hidden="false" customHeight="true" outlineLevel="0" collapsed="false">
      <c r="A25" s="5" t="s">
        <v>14</v>
      </c>
      <c r="B25" s="5" t="s">
        <v>15</v>
      </c>
      <c r="C25" s="17" t="n">
        <v>3.45</v>
      </c>
      <c r="D25" s="6" t="s">
        <v>17</v>
      </c>
      <c r="E25" s="6" t="n">
        <v>9.75</v>
      </c>
      <c r="F25" s="6" t="s">
        <v>17</v>
      </c>
      <c r="G25" s="7" t="n">
        <v>10</v>
      </c>
      <c r="H25" s="8" t="n">
        <f aca="false">E25-C25</f>
        <v>6.3</v>
      </c>
      <c r="I25" s="8"/>
      <c r="J25" s="9"/>
      <c r="K25" s="9" t="n">
        <f aca="false">(E25-C25)/(10-C25)</f>
        <v>0.961832061068702</v>
      </c>
    </row>
    <row r="26" customFormat="false" ht="12.8" hidden="false" customHeight="true" outlineLevel="0" collapsed="false">
      <c r="A26" s="5" t="s">
        <v>14</v>
      </c>
      <c r="B26" s="5" t="s">
        <v>15</v>
      </c>
      <c r="C26" s="17" t="n">
        <v>3.45</v>
      </c>
      <c r="D26" s="6" t="s">
        <v>16</v>
      </c>
      <c r="E26" s="6" t="n">
        <v>8.7</v>
      </c>
      <c r="F26" s="6" t="s">
        <v>17</v>
      </c>
      <c r="G26" s="7" t="n">
        <v>10</v>
      </c>
      <c r="H26" s="8" t="n">
        <f aca="false">E26-C26</f>
        <v>5.25</v>
      </c>
      <c r="I26" s="8"/>
      <c r="J26" s="9"/>
      <c r="K26" s="9" t="n">
        <f aca="false">(E26-C26)/(10-C26)</f>
        <v>0.801526717557252</v>
      </c>
    </row>
    <row r="27" customFormat="false" ht="12.8" hidden="false" customHeight="true" outlineLevel="0" collapsed="false">
      <c r="A27" s="5" t="s">
        <v>14</v>
      </c>
      <c r="B27" s="5" t="s">
        <v>21</v>
      </c>
      <c r="C27" s="17" t="n">
        <v>0.95</v>
      </c>
      <c r="D27" s="6" t="s">
        <v>16</v>
      </c>
      <c r="E27" s="6" t="n">
        <v>8.7</v>
      </c>
      <c r="F27" s="6" t="s">
        <v>17</v>
      </c>
      <c r="G27" s="7" t="n">
        <v>10</v>
      </c>
      <c r="H27" s="8" t="n">
        <f aca="false">E27-C27</f>
        <v>7.75</v>
      </c>
      <c r="I27" s="8"/>
      <c r="J27" s="9"/>
      <c r="K27" s="9" t="n">
        <f aca="false">(E27-C27)/(10-C27)</f>
        <v>0.856353591160221</v>
      </c>
    </row>
    <row r="28" customFormat="false" ht="12.8" hidden="false" customHeight="true" outlineLevel="0" collapsed="false">
      <c r="A28" s="5" t="s">
        <v>14</v>
      </c>
      <c r="B28" s="5" t="s">
        <v>15</v>
      </c>
      <c r="C28" s="17" t="n">
        <v>3.45</v>
      </c>
      <c r="D28" s="6" t="s">
        <v>17</v>
      </c>
      <c r="E28" s="6" t="n">
        <v>9.75</v>
      </c>
      <c r="F28" s="6" t="s">
        <v>17</v>
      </c>
      <c r="G28" s="7" t="n">
        <v>10</v>
      </c>
      <c r="H28" s="8" t="n">
        <f aca="false">E28-C28</f>
        <v>6.3</v>
      </c>
      <c r="I28" s="8"/>
      <c r="J28" s="9"/>
      <c r="K28" s="9" t="n">
        <f aca="false">(E28-C28)/(10-C28)</f>
        <v>0.961832061068702</v>
      </c>
    </row>
    <row r="29" customFormat="false" ht="12.8" hidden="false" customHeight="true" outlineLevel="0" collapsed="false">
      <c r="A29" s="11" t="s">
        <v>19</v>
      </c>
      <c r="B29" s="11" t="s">
        <v>21</v>
      </c>
      <c r="C29" s="18" t="n">
        <v>0.95</v>
      </c>
      <c r="D29" s="13" t="s">
        <v>16</v>
      </c>
      <c r="E29" s="13" t="n">
        <v>8.7</v>
      </c>
      <c r="F29" s="12" t="s">
        <v>17</v>
      </c>
      <c r="G29" s="14" t="n">
        <v>10</v>
      </c>
      <c r="H29" s="15"/>
      <c r="I29" s="15" t="n">
        <f aca="false">E29-C29</f>
        <v>7.75</v>
      </c>
      <c r="J29" s="16" t="n">
        <f aca="false">(E29-C29)/(10-C29)</f>
        <v>0.856353591160221</v>
      </c>
      <c r="K29" s="16"/>
    </row>
    <row r="30" customFormat="false" ht="12.8" hidden="false" customHeight="true" outlineLevel="0" collapsed="false">
      <c r="A30" s="11" t="s">
        <v>19</v>
      </c>
      <c r="B30" s="11" t="s">
        <v>20</v>
      </c>
      <c r="C30" s="18" t="n">
        <v>6.45</v>
      </c>
      <c r="D30" s="13" t="s">
        <v>16</v>
      </c>
      <c r="E30" s="13" t="n">
        <v>8.7</v>
      </c>
      <c r="F30" s="12" t="s">
        <v>17</v>
      </c>
      <c r="G30" s="12" t="n">
        <v>10</v>
      </c>
      <c r="H30" s="15"/>
      <c r="I30" s="15" t="n">
        <f aca="false">E30-C30</f>
        <v>2.25</v>
      </c>
      <c r="J30" s="16" t="n">
        <f aca="false">(E30-C30)/(10-C30)</f>
        <v>0.633802816901408</v>
      </c>
      <c r="K30" s="16"/>
    </row>
    <row r="31" customFormat="false" ht="12.8" hidden="false" customHeight="true" outlineLevel="0" collapsed="false">
      <c r="A31" s="5" t="s">
        <v>14</v>
      </c>
      <c r="B31" s="5" t="s">
        <v>15</v>
      </c>
      <c r="C31" s="17" t="n">
        <v>3.45</v>
      </c>
      <c r="D31" s="6" t="s">
        <v>16</v>
      </c>
      <c r="E31" s="6" t="n">
        <v>8.7</v>
      </c>
      <c r="F31" s="6" t="s">
        <v>17</v>
      </c>
      <c r="G31" s="7" t="n">
        <v>9.5</v>
      </c>
      <c r="H31" s="8" t="n">
        <f aca="false">E31-C31</f>
        <v>5.25</v>
      </c>
      <c r="I31" s="8"/>
      <c r="J31" s="9"/>
      <c r="K31" s="9" t="n">
        <f aca="false">(E31-C31)/(10-C31)</f>
        <v>0.801526717557252</v>
      </c>
    </row>
    <row r="32" customFormat="false" ht="12.8" hidden="false" customHeight="true" outlineLevel="0" collapsed="false">
      <c r="A32" s="11" t="s">
        <v>19</v>
      </c>
      <c r="B32" s="11" t="s">
        <v>15</v>
      </c>
      <c r="C32" s="18" t="n">
        <v>3.45</v>
      </c>
      <c r="D32" s="13" t="s">
        <v>16</v>
      </c>
      <c r="E32" s="13" t="n">
        <v>8.7</v>
      </c>
      <c r="F32" s="12" t="s">
        <v>17</v>
      </c>
      <c r="G32" s="14" t="n">
        <v>10</v>
      </c>
      <c r="H32" s="15"/>
      <c r="I32" s="15" t="n">
        <f aca="false">E32-C32</f>
        <v>5.25</v>
      </c>
      <c r="J32" s="16" t="n">
        <f aca="false">(E32-C32)/(10-C32)</f>
        <v>0.801526717557252</v>
      </c>
      <c r="K32" s="16"/>
    </row>
    <row r="33" customFormat="false" ht="12.8" hidden="false" customHeight="true" outlineLevel="0" collapsed="false">
      <c r="A33" s="11" t="s">
        <v>19</v>
      </c>
      <c r="B33" s="11" t="s">
        <v>21</v>
      </c>
      <c r="C33" s="18" t="n">
        <v>0.95</v>
      </c>
      <c r="D33" s="12" t="s">
        <v>16</v>
      </c>
      <c r="E33" s="12" t="n">
        <v>8.7</v>
      </c>
      <c r="F33" s="12" t="s">
        <v>17</v>
      </c>
      <c r="G33" s="14" t="n">
        <v>10</v>
      </c>
      <c r="H33" s="15"/>
      <c r="I33" s="15" t="n">
        <f aca="false">E33-C33</f>
        <v>7.75</v>
      </c>
      <c r="J33" s="16" t="n">
        <f aca="false">(E33-C33)/(10-C33)</f>
        <v>0.856353591160221</v>
      </c>
      <c r="K33" s="16"/>
    </row>
    <row r="34" customFormat="false" ht="12.8" hidden="false" customHeight="true" outlineLevel="0" collapsed="false">
      <c r="A34" s="5" t="s">
        <v>14</v>
      </c>
      <c r="B34" s="5" t="s">
        <v>21</v>
      </c>
      <c r="C34" s="17" t="n">
        <v>0.95</v>
      </c>
      <c r="D34" s="6" t="s">
        <v>16</v>
      </c>
      <c r="E34" s="6" t="n">
        <v>8.7</v>
      </c>
      <c r="F34" s="6" t="s">
        <v>17</v>
      </c>
      <c r="G34" s="7" t="n">
        <v>10</v>
      </c>
      <c r="H34" s="8"/>
      <c r="I34" s="8"/>
      <c r="J34" s="9"/>
      <c r="K34" s="9" t="n">
        <f aca="false">(E34-C34)/(10-C34)</f>
        <v>0.856353591160221</v>
      </c>
    </row>
    <row r="35" customFormat="false" ht="12.8" hidden="false" customHeight="true" outlineLevel="0" collapsed="false">
      <c r="A35" s="11" t="s">
        <v>19</v>
      </c>
      <c r="B35" s="11" t="s">
        <v>15</v>
      </c>
      <c r="C35" s="18" t="n">
        <v>3.45</v>
      </c>
      <c r="D35" s="12" t="s">
        <v>16</v>
      </c>
      <c r="E35" s="12" t="n">
        <v>8.7</v>
      </c>
      <c r="F35" s="12" t="s">
        <v>17</v>
      </c>
      <c r="G35" s="14" t="n">
        <v>9.5</v>
      </c>
      <c r="H35" s="15"/>
      <c r="I35" s="15" t="n">
        <f aca="false">E35-C35</f>
        <v>5.25</v>
      </c>
      <c r="J35" s="16" t="n">
        <f aca="false">(E35-C35)/(10-C35)</f>
        <v>0.801526717557252</v>
      </c>
      <c r="K35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942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2026-01-12T15:39:37Z</dcterms:modified>
  <cp:revision>179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