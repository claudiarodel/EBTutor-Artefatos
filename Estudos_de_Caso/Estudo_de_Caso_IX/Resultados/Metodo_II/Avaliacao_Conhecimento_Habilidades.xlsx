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<sst xmlns="http://schemas.openxmlformats.org/spreadsheetml/2006/main" count="49" uniqueCount="14">
  <si>
    <t xml:space="preserve">Grupo</t>
  </si>
  <si>
    <t xml:space="preserve">Q – 1ª Tentativa</t>
  </si>
  <si>
    <t xml:space="preserve">Q- 2º Tentativa</t>
  </si>
  <si>
    <t xml:space="preserve">Variação Das Notas</t>
  </si>
  <si>
    <t xml:space="preserve">Número De Tentativas Feitas</t>
  </si>
  <si>
    <t xml:space="preserve">Q- º Tentativa</t>
  </si>
  <si>
    <t xml:space="preserve">Q- nº Tentativa</t>
  </si>
  <si>
    <t xml:space="preserve">Ganho Normalizado EB</t>
  </si>
  <si>
    <t xml:space="preserve">Ganho Normalizado NEB</t>
  </si>
  <si>
    <t xml:space="preserve">média</t>
  </si>
  <si>
    <t xml:space="preserve">mediana</t>
  </si>
  <si>
    <t xml:space="preserve">DP</t>
  </si>
  <si>
    <t xml:space="preserve">intervencao</t>
  </si>
  <si>
    <t xml:space="preserve">controle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</si>
</sst>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#,##0.00"/>
    <numFmt numFmtId="167" formatCode="0.0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9900"/>
        <bgColor rgb="FFFF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2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8" min="8" style="1" width="22.44"/>
    <col collapsed="false" customWidth="true" hidden="false" outlineLevel="0" max="9" min="9" style="1" width="21.72"/>
    <col collapsed="false" customWidth="false" hidden="false" outlineLevel="0" max="11" min="10" style="1" width="11.53"/>
  </cols>
  <sheetData>
    <row r="1" customFormat="false" ht="12.8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4" t="s">
        <v>8</v>
      </c>
      <c r="J1" s="5"/>
      <c r="K1" s="5" t="s">
        <v>9</v>
      </c>
      <c r="L1" s="5" t="s">
        <v>10</v>
      </c>
      <c r="M1" s="5" t="s">
        <v>11</v>
      </c>
    </row>
    <row r="2" customFormat="false" ht="12.8" hidden="false" customHeight="true" outlineLevel="0" collapsed="false">
      <c r="A2" s="6" t="s">
        <v>12</v>
      </c>
      <c r="B2" s="7" t="n">
        <v>4</v>
      </c>
      <c r="C2" s="7" t="n">
        <v>6</v>
      </c>
      <c r="D2" s="8"/>
      <c r="E2" s="9" t="n">
        <v>4</v>
      </c>
      <c r="F2" s="10" t="n">
        <v>6</v>
      </c>
      <c r="G2" s="7" t="n">
        <v>10</v>
      </c>
      <c r="H2" s="8" t="n">
        <f aca="false">IF($E2=1, 0, (MAX($G2,$F2,$C2,$B2)-$B2)/($E2-1))</f>
        <v>2</v>
      </c>
      <c r="I2" s="11"/>
      <c r="J2" s="12"/>
      <c r="K2" s="12"/>
    </row>
    <row r="3" customFormat="false" ht="12.8" hidden="false" customHeight="true" outlineLevel="0" collapsed="false">
      <c r="A3" s="6" t="s">
        <v>12</v>
      </c>
      <c r="B3" s="7" t="n">
        <v>8</v>
      </c>
      <c r="C3" s="13" t="n">
        <v>8</v>
      </c>
      <c r="D3" s="13"/>
      <c r="E3" s="14" t="n">
        <v>3</v>
      </c>
      <c r="F3" s="13" t="n">
        <v>10</v>
      </c>
      <c r="G3" s="7"/>
      <c r="H3" s="8" t="n">
        <f aca="false">IF($E3=1, 0, (MAX($G3,$F3,$C3,$B3)-$B3)/($E3-1))</f>
        <v>1</v>
      </c>
      <c r="I3" s="13"/>
      <c r="J3" s="15" t="s">
        <v>12</v>
      </c>
      <c r="K3" s="16" t="n">
        <f aca="false">AVERAGE(H2:H34)</f>
        <v>2.58666666666667</v>
      </c>
      <c r="L3" s="16" t="n">
        <f aca="false">MEDIAN(H2:H33)</f>
        <v>2</v>
      </c>
      <c r="M3" s="16" t="n">
        <f aca="false">STDEV(H2:H29)</f>
        <v>1.36177988105437</v>
      </c>
    </row>
    <row r="4" customFormat="false" ht="12.8" hidden="false" customHeight="true" outlineLevel="0" collapsed="false">
      <c r="A4" s="6" t="s">
        <v>12</v>
      </c>
      <c r="B4" s="8" t="n">
        <v>6</v>
      </c>
      <c r="C4" s="13" t="n">
        <v>10</v>
      </c>
      <c r="D4" s="13"/>
      <c r="E4" s="14" t="n">
        <v>2</v>
      </c>
      <c r="F4" s="11"/>
      <c r="G4" s="13"/>
      <c r="H4" s="8" t="n">
        <f aca="false">IF($E4=1, 0, (MAX($G4,$F4,$C4,$B4)-$B4)/($E4-1))</f>
        <v>4</v>
      </c>
      <c r="I4" s="13"/>
      <c r="J4" s="15"/>
      <c r="K4" s="16"/>
      <c r="L4" s="16"/>
      <c r="M4" s="16"/>
    </row>
    <row r="5" customFormat="false" ht="12.8" hidden="false" customHeight="true" outlineLevel="0" collapsed="false">
      <c r="A5" s="6" t="s">
        <v>12</v>
      </c>
      <c r="B5" s="8" t="n">
        <v>8</v>
      </c>
      <c r="C5" s="13" t="n">
        <v>10</v>
      </c>
      <c r="D5" s="13"/>
      <c r="E5" s="14" t="n">
        <v>2</v>
      </c>
      <c r="F5" s="11"/>
      <c r="G5" s="13"/>
      <c r="H5" s="8" t="n">
        <f aca="false">IF($E5=1, 0, (MAX($G5,$F5,$C5,$B5)-$B5)/($E5-1))</f>
        <v>2</v>
      </c>
      <c r="I5" s="8"/>
      <c r="J5" s="15" t="s">
        <v>13</v>
      </c>
      <c r="K5" s="16" t="n">
        <f aca="false">AVERAGE(I2:I36)</f>
        <v>1.55</v>
      </c>
      <c r="L5" s="16" t="n">
        <f aca="false">MEDIAN(I2:I36)</f>
        <v>1.5</v>
      </c>
      <c r="M5" s="16" t="n">
        <f aca="false">STDEV(I2:I38)</f>
        <v>1.21220643639788</v>
      </c>
    </row>
    <row r="6" customFormat="false" ht="12.8" hidden="false" customHeight="true" outlineLevel="0" collapsed="false">
      <c r="A6" s="17" t="s">
        <v>13</v>
      </c>
      <c r="B6" s="18" t="n">
        <v>8</v>
      </c>
      <c r="C6" s="19" t="n">
        <v>8</v>
      </c>
      <c r="D6" s="19"/>
      <c r="E6" s="19" t="n">
        <v>2</v>
      </c>
      <c r="F6" s="19"/>
      <c r="G6" s="19"/>
      <c r="H6" s="20"/>
      <c r="I6" s="18" t="n">
        <f aca="false">IF($E6=1, 0, (MAX($G6,$F6,$C6,$B6)-$B6)/($E6-1))</f>
        <v>0</v>
      </c>
      <c r="J6" s="15"/>
    </row>
    <row r="7" customFormat="false" ht="12.8" hidden="false" customHeight="true" outlineLevel="0" collapsed="false">
      <c r="A7" s="6" t="s">
        <v>12</v>
      </c>
      <c r="B7" s="8" t="n">
        <v>5</v>
      </c>
      <c r="C7" s="13" t="n">
        <v>7</v>
      </c>
      <c r="D7" s="13"/>
      <c r="E7" s="13" t="n">
        <v>4</v>
      </c>
      <c r="F7" s="13" t="n">
        <v>8</v>
      </c>
      <c r="G7" s="13" t="n">
        <v>10</v>
      </c>
      <c r="H7" s="8" t="n">
        <f aca="false">IF($E7=1, 0, (MAX($G7,$F7,$C7,$B7)-$B7)/($E7-1))</f>
        <v>1.66666666666667</v>
      </c>
      <c r="I7" s="21"/>
      <c r="J7" s="15"/>
    </row>
    <row r="8" customFormat="false" ht="12.8" hidden="false" customHeight="true" outlineLevel="0" collapsed="false">
      <c r="A8" s="6" t="s">
        <v>12</v>
      </c>
      <c r="B8" s="8" t="n">
        <v>3</v>
      </c>
      <c r="C8" s="13" t="n">
        <v>10</v>
      </c>
      <c r="D8" s="13"/>
      <c r="E8" s="13" t="n">
        <v>2</v>
      </c>
      <c r="F8" s="13"/>
      <c r="G8" s="13"/>
      <c r="H8" s="8" t="n">
        <f aca="false">IF($E8=1, 0, (MAX($G8,$F8,$C8,$B8)-$B8)/($E8-1))</f>
        <v>7</v>
      </c>
      <c r="I8" s="22"/>
      <c r="J8" s="23"/>
    </row>
    <row r="9" customFormat="false" ht="12.8" hidden="false" customHeight="true" outlineLevel="0" collapsed="false">
      <c r="A9" s="6" t="s">
        <v>12</v>
      </c>
      <c r="B9" s="8" t="n">
        <v>8</v>
      </c>
      <c r="C9" s="13" t="n">
        <v>8</v>
      </c>
      <c r="D9" s="13"/>
      <c r="E9" s="13" t="n">
        <v>5</v>
      </c>
      <c r="F9" s="13" t="n">
        <v>8</v>
      </c>
      <c r="G9" s="13" t="n">
        <v>10</v>
      </c>
      <c r="H9" s="8" t="n">
        <f aca="false">IF($E9=1, 0, (MAX($G9,$F9,$C9,$B9)-$B9)/($E9-1))</f>
        <v>0.5</v>
      </c>
      <c r="I9" s="21"/>
      <c r="J9" s="15"/>
    </row>
    <row r="10" customFormat="false" ht="12.8" hidden="false" customHeight="true" outlineLevel="0" collapsed="false">
      <c r="A10" s="6" t="s">
        <v>12</v>
      </c>
      <c r="B10" s="8" t="n">
        <v>7</v>
      </c>
      <c r="C10" s="13" t="n">
        <v>10</v>
      </c>
      <c r="D10" s="13"/>
      <c r="E10" s="13" t="n">
        <v>2</v>
      </c>
      <c r="F10" s="13"/>
      <c r="G10" s="13"/>
      <c r="H10" s="8" t="n">
        <f aca="false">IF($E10=1, 0, (MAX($G10,$F10,$C10,$B10)-$B10)/($E10-1))</f>
        <v>3</v>
      </c>
      <c r="I10" s="21"/>
      <c r="J10" s="15"/>
    </row>
    <row r="11" customFormat="false" ht="12.8" hidden="false" customHeight="true" outlineLevel="0" collapsed="false">
      <c r="A11" s="6" t="s">
        <v>12</v>
      </c>
      <c r="B11" s="8" t="n">
        <v>9</v>
      </c>
      <c r="C11" s="13" t="n">
        <v>10</v>
      </c>
      <c r="D11" s="13"/>
      <c r="E11" s="13" t="n">
        <v>2</v>
      </c>
      <c r="F11" s="13"/>
      <c r="G11" s="13"/>
      <c r="H11" s="8" t="n">
        <f aca="false">IF($E11=1, 0, (MAX($G11,$F11,$C11,$B11)-$B11)/($E11-1))</f>
        <v>1</v>
      </c>
      <c r="I11" s="21"/>
      <c r="J11" s="15"/>
    </row>
    <row r="12" customFormat="false" ht="12.8" hidden="false" customHeight="true" outlineLevel="0" collapsed="false">
      <c r="A12" s="6" t="s">
        <v>12</v>
      </c>
      <c r="B12" s="8" t="n">
        <v>5</v>
      </c>
      <c r="C12" s="13" t="n">
        <v>8</v>
      </c>
      <c r="D12" s="13"/>
      <c r="E12" s="13" t="n">
        <v>3</v>
      </c>
      <c r="F12" s="13" t="n">
        <v>10</v>
      </c>
      <c r="G12" s="13"/>
      <c r="H12" s="8" t="n">
        <f aca="false">IF($E12=1, 0, (MAX($G12,$F12,$C12,$B12)-$B12)/($E12-1))</f>
        <v>2.5</v>
      </c>
      <c r="I12" s="21"/>
      <c r="J12" s="15"/>
    </row>
    <row r="13" customFormat="false" ht="12.8" hidden="false" customHeight="true" outlineLevel="0" collapsed="false">
      <c r="A13" s="6" t="s">
        <v>12</v>
      </c>
      <c r="B13" s="8" t="n">
        <v>8</v>
      </c>
      <c r="C13" s="13" t="n">
        <v>10</v>
      </c>
      <c r="D13" s="13"/>
      <c r="E13" s="13" t="n">
        <v>2</v>
      </c>
      <c r="F13" s="13"/>
      <c r="G13" s="13"/>
      <c r="H13" s="8" t="n">
        <f aca="false">IF($E13=1, 0, (MAX($G13,$F13,$C13,$B13)-$B13)/($E13-1))</f>
        <v>2</v>
      </c>
      <c r="I13" s="22"/>
      <c r="J13" s="23"/>
    </row>
    <row r="14" customFormat="false" ht="12.8" hidden="false" customHeight="true" outlineLevel="0" collapsed="false">
      <c r="A14" s="6" t="s">
        <v>12</v>
      </c>
      <c r="B14" s="8" t="n">
        <v>6</v>
      </c>
      <c r="C14" s="13" t="n">
        <v>10</v>
      </c>
      <c r="D14" s="13"/>
      <c r="E14" s="13" t="n">
        <v>2</v>
      </c>
      <c r="F14" s="13"/>
      <c r="G14" s="13"/>
      <c r="H14" s="8" t="n">
        <f aca="false">IF($E14=1, 0, (MAX($G14,$F14,$C14,$B14)-$B14)/($E14-1))</f>
        <v>4</v>
      </c>
      <c r="I14" s="21"/>
      <c r="J14" s="15"/>
    </row>
    <row r="15" customFormat="false" ht="12.8" hidden="false" customHeight="true" outlineLevel="0" collapsed="false">
      <c r="A15" s="6" t="s">
        <v>12</v>
      </c>
      <c r="B15" s="8" t="n">
        <v>8</v>
      </c>
      <c r="C15" s="13" t="n">
        <v>10</v>
      </c>
      <c r="D15" s="13"/>
      <c r="E15" s="13" t="n">
        <v>2</v>
      </c>
      <c r="F15" s="13"/>
      <c r="G15" s="13"/>
      <c r="H15" s="8" t="n">
        <f aca="false">IF($E15=1, 0, (MAX($G15,$F15,$C15,$B15)-$B15)/($E15-1))</f>
        <v>2</v>
      </c>
      <c r="I15" s="21"/>
      <c r="J15" s="15"/>
    </row>
    <row r="16" customFormat="false" ht="12.8" hidden="false" customHeight="true" outlineLevel="0" collapsed="false">
      <c r="A16" s="6" t="s">
        <v>12</v>
      </c>
      <c r="B16" s="8" t="n">
        <v>5</v>
      </c>
      <c r="C16" s="13" t="n">
        <v>6</v>
      </c>
      <c r="D16" s="13"/>
      <c r="E16" s="13" t="n">
        <v>3</v>
      </c>
      <c r="F16" s="13" t="n">
        <v>10</v>
      </c>
      <c r="G16" s="13"/>
      <c r="H16" s="8" t="n">
        <f aca="false">IF($E16=1, 0, (MAX($G16,$F16,$C16,$B16)-$B16)/($E16-1))</f>
        <v>2.5</v>
      </c>
      <c r="I16" s="21"/>
      <c r="J16" s="15"/>
    </row>
    <row r="17" customFormat="false" ht="12.8" hidden="false" customHeight="true" outlineLevel="0" collapsed="false">
      <c r="A17" s="6" t="s">
        <v>12</v>
      </c>
      <c r="B17" s="8" t="n">
        <v>7</v>
      </c>
      <c r="C17" s="13" t="n">
        <v>10</v>
      </c>
      <c r="D17" s="13"/>
      <c r="E17" s="13" t="n">
        <v>2</v>
      </c>
      <c r="F17" s="13"/>
      <c r="G17" s="13"/>
      <c r="H17" s="8" t="n">
        <f aca="false">IF($E17=1, 0, (MAX($G17,$F17,$C17,$B17)-$B17)/($E17-1))</f>
        <v>3</v>
      </c>
      <c r="I17" s="21"/>
      <c r="J17" s="15"/>
    </row>
    <row r="18" customFormat="false" ht="12.8" hidden="false" customHeight="true" outlineLevel="0" collapsed="false">
      <c r="A18" s="17" t="s">
        <v>13</v>
      </c>
      <c r="B18" s="24" t="n">
        <v>8</v>
      </c>
      <c r="C18" s="25" t="n">
        <v>8</v>
      </c>
      <c r="D18" s="25"/>
      <c r="E18" s="25" t="n">
        <v>2</v>
      </c>
      <c r="F18" s="25"/>
      <c r="G18" s="25"/>
      <c r="H18" s="20"/>
      <c r="I18" s="18" t="n">
        <f aca="false">IF($E18=1, 0, (MAX($G18,$F18,$C18,$B18)-$B18)/($E18-1))</f>
        <v>0</v>
      </c>
      <c r="J18" s="23"/>
    </row>
    <row r="19" customFormat="false" ht="12.8" hidden="false" customHeight="true" outlineLevel="0" collapsed="false">
      <c r="A19" s="6" t="s">
        <v>12</v>
      </c>
      <c r="B19" s="9" t="n">
        <v>7</v>
      </c>
      <c r="C19" s="14" t="n">
        <v>10</v>
      </c>
      <c r="D19" s="14"/>
      <c r="E19" s="14" t="n">
        <v>2</v>
      </c>
      <c r="F19" s="14"/>
      <c r="G19" s="14"/>
      <c r="H19" s="8" t="n">
        <f aca="false">IF($E19=1, 0, (MAX($G19,$F19,$C19,$B19)-$B19)/($E19-1))</f>
        <v>3</v>
      </c>
      <c r="I19" s="14"/>
      <c r="J19" s="26"/>
    </row>
    <row r="20" customFormat="false" ht="12.8" hidden="false" customHeight="true" outlineLevel="0" collapsed="false">
      <c r="A20" s="6" t="s">
        <v>12</v>
      </c>
      <c r="B20" s="9" t="n">
        <v>6</v>
      </c>
      <c r="C20" s="14" t="n">
        <v>10</v>
      </c>
      <c r="D20" s="14"/>
      <c r="E20" s="14" t="n">
        <v>2</v>
      </c>
      <c r="F20" s="14"/>
      <c r="G20" s="14"/>
      <c r="H20" s="8" t="n">
        <f aca="false">IF($E20=1, 0, (MAX($G20,$F20,$C20,$B20)-$B20)/($E20-1))</f>
        <v>4</v>
      </c>
      <c r="I20" s="14"/>
      <c r="J20" s="26"/>
    </row>
    <row r="21" customFormat="false" ht="12.8" hidden="false" customHeight="true" outlineLevel="0" collapsed="false">
      <c r="A21" s="6" t="s">
        <v>12</v>
      </c>
      <c r="B21" s="9" t="n">
        <v>8</v>
      </c>
      <c r="C21" s="14" t="n">
        <v>10</v>
      </c>
      <c r="D21" s="14"/>
      <c r="E21" s="14" t="n">
        <v>2</v>
      </c>
      <c r="F21" s="14"/>
      <c r="G21" s="14"/>
      <c r="H21" s="8" t="n">
        <f aca="false">IF($E21=1, 0, (MAX($G21,$F21,$C21,$B21)-$B21)/($E21-1))</f>
        <v>2</v>
      </c>
      <c r="I21" s="21"/>
      <c r="J21" s="15"/>
    </row>
    <row r="22" customFormat="false" ht="12.8" hidden="false" customHeight="true" outlineLevel="0" collapsed="false">
      <c r="A22" s="6" t="s">
        <v>12</v>
      </c>
      <c r="B22" s="9" t="n">
        <v>8</v>
      </c>
      <c r="C22" s="14" t="n">
        <v>10</v>
      </c>
      <c r="D22" s="14"/>
      <c r="E22" s="14" t="n">
        <v>2</v>
      </c>
      <c r="F22" s="14"/>
      <c r="G22" s="14"/>
      <c r="H22" s="8" t="n">
        <f aca="false">IF($E22=1, 0, (MAX($G22,$F22,$C22,$B22)-$B22)/($E22-1))</f>
        <v>2</v>
      </c>
      <c r="I22" s="21"/>
      <c r="J22" s="15"/>
    </row>
    <row r="23" customFormat="false" ht="12.8" hidden="false" customHeight="true" outlineLevel="0" collapsed="false">
      <c r="A23" s="6" t="s">
        <v>12</v>
      </c>
      <c r="B23" s="9" t="n">
        <v>3</v>
      </c>
      <c r="C23" s="14" t="n">
        <v>8</v>
      </c>
      <c r="D23" s="14"/>
      <c r="E23" s="14" t="n">
        <v>3</v>
      </c>
      <c r="F23" s="14" t="n">
        <v>10</v>
      </c>
      <c r="G23" s="14"/>
      <c r="H23" s="8" t="n">
        <f aca="false">IF($E23=1, 0, (MAX($G23,$F23,$C23,$B23)-$B23)/($E23-1))</f>
        <v>3.5</v>
      </c>
      <c r="I23" s="21"/>
      <c r="J23" s="15"/>
    </row>
    <row r="24" customFormat="false" ht="12.8" hidden="false" customHeight="true" outlineLevel="0" collapsed="false">
      <c r="A24" s="6" t="s">
        <v>12</v>
      </c>
      <c r="B24" s="9" t="n">
        <v>7</v>
      </c>
      <c r="C24" s="14" t="n">
        <v>10</v>
      </c>
      <c r="D24" s="14"/>
      <c r="E24" s="14" t="n">
        <v>2</v>
      </c>
      <c r="F24" s="14"/>
      <c r="G24" s="14"/>
      <c r="H24" s="8" t="n">
        <f aca="false">IF($E24=1, 0, (MAX($G24,$F24,$C24,$B24)-$B24)/($E24-1))</f>
        <v>3</v>
      </c>
      <c r="I24" s="22"/>
      <c r="J24" s="23"/>
    </row>
    <row r="25" customFormat="false" ht="12.8" hidden="false" customHeight="true" outlineLevel="0" collapsed="false">
      <c r="A25" s="6" t="s">
        <v>12</v>
      </c>
      <c r="B25" s="9" t="n">
        <v>6</v>
      </c>
      <c r="C25" s="14" t="n">
        <v>10</v>
      </c>
      <c r="D25" s="14"/>
      <c r="E25" s="14" t="n">
        <v>2</v>
      </c>
      <c r="F25" s="14"/>
      <c r="G25" s="14"/>
      <c r="H25" s="8" t="n">
        <f aca="false">IF($E25=1, 0, (MAX($G25,$F25,$C25,$B25)-$B25)/($E25-1))</f>
        <v>4</v>
      </c>
      <c r="I25" s="14"/>
      <c r="J25" s="26"/>
    </row>
    <row r="26" customFormat="false" ht="12.8" hidden="false" customHeight="true" outlineLevel="0" collapsed="false">
      <c r="A26" s="6" t="s">
        <v>12</v>
      </c>
      <c r="B26" s="9" t="n">
        <v>7</v>
      </c>
      <c r="C26" s="14" t="n">
        <v>8</v>
      </c>
      <c r="D26" s="14"/>
      <c r="E26" s="14" t="n">
        <v>4</v>
      </c>
      <c r="F26" s="14" t="n">
        <v>8</v>
      </c>
      <c r="G26" s="14" t="n">
        <v>10</v>
      </c>
      <c r="H26" s="8" t="n">
        <f aca="false">IF($E26=1, 0, (MAX($G26,$F26,$C26,$B26)-$B26)/($E26-1))</f>
        <v>1</v>
      </c>
      <c r="I26" s="21"/>
      <c r="J26" s="15"/>
    </row>
    <row r="27" customFormat="false" ht="12.8" hidden="false" customHeight="true" outlineLevel="0" collapsed="false">
      <c r="A27" s="6" t="s">
        <v>12</v>
      </c>
      <c r="B27" s="9" t="n">
        <v>8</v>
      </c>
      <c r="C27" s="14" t="n">
        <v>10</v>
      </c>
      <c r="D27" s="14"/>
      <c r="E27" s="14" t="n">
        <v>2</v>
      </c>
      <c r="F27" s="14"/>
      <c r="G27" s="14"/>
      <c r="H27" s="8" t="n">
        <f aca="false">IF($E27=1, 0, (MAX($G27,$F27,$C27,$B27)-$B27)/($E27-1))</f>
        <v>2</v>
      </c>
      <c r="I27" s="22"/>
      <c r="J27" s="23"/>
    </row>
    <row r="28" customFormat="false" ht="12.8" hidden="false" customHeight="true" outlineLevel="0" collapsed="false">
      <c r="A28" s="6" t="s">
        <v>12</v>
      </c>
      <c r="B28" s="9" t="n">
        <v>6</v>
      </c>
      <c r="C28" s="14" t="n">
        <v>8</v>
      </c>
      <c r="D28" s="14"/>
      <c r="E28" s="14" t="n">
        <v>3</v>
      </c>
      <c r="F28" s="14"/>
      <c r="G28" s="14" t="n">
        <v>10</v>
      </c>
      <c r="H28" s="8" t="n">
        <f aca="false">IF($E28=1, 0, (MAX($G28,$F28,$C28,$B28)-$B28)/($E28-1))</f>
        <v>2</v>
      </c>
      <c r="I28" s="21"/>
      <c r="J28" s="15"/>
    </row>
    <row r="29" customFormat="false" ht="12.8" hidden="false" customHeight="true" outlineLevel="0" collapsed="false">
      <c r="A29" s="17" t="s">
        <v>13</v>
      </c>
      <c r="B29" s="27" t="n">
        <v>6</v>
      </c>
      <c r="C29" s="25" t="n">
        <v>10</v>
      </c>
      <c r="D29" s="25"/>
      <c r="E29" s="25" t="n">
        <v>2</v>
      </c>
      <c r="F29" s="25"/>
      <c r="G29" s="25"/>
      <c r="H29" s="28"/>
      <c r="I29" s="18" t="n">
        <f aca="false">IF($E29=1, 0, (MAX($G29,$F29,$C29,$B29)-$B29)/($E29-1))</f>
        <v>4</v>
      </c>
      <c r="J29" s="23"/>
    </row>
    <row r="30" customFormat="false" ht="12.8" hidden="false" customHeight="true" outlineLevel="0" collapsed="false">
      <c r="A30" s="17" t="s">
        <v>13</v>
      </c>
      <c r="B30" s="24" t="n">
        <v>5</v>
      </c>
      <c r="C30" s="25" t="n">
        <v>2</v>
      </c>
      <c r="D30" s="25"/>
      <c r="E30" s="25" t="n">
        <v>3</v>
      </c>
      <c r="F30" s="25" t="n">
        <v>10</v>
      </c>
      <c r="G30" s="25"/>
      <c r="H30" s="28"/>
      <c r="I30" s="18" t="n">
        <f aca="false">IF($E30=1, 0, (MAX($G30,$F30,$C30,$B30)-$B30)/($E30-1))</f>
        <v>2.5</v>
      </c>
      <c r="J30" s="15"/>
    </row>
    <row r="31" customFormat="false" ht="12.8" hidden="false" customHeight="true" outlineLevel="0" collapsed="false">
      <c r="A31" s="17" t="s">
        <v>13</v>
      </c>
      <c r="B31" s="18" t="n">
        <v>6</v>
      </c>
      <c r="C31" s="19" t="n">
        <v>8</v>
      </c>
      <c r="D31" s="28"/>
      <c r="E31" s="28" t="n">
        <v>3</v>
      </c>
      <c r="F31" s="25" t="n">
        <v>10</v>
      </c>
      <c r="G31" s="28"/>
      <c r="H31" s="19"/>
      <c r="I31" s="18" t="n">
        <f aca="false">IF($E31=1, 0, (MAX($G31,$F31,$C31,$B31)-$B31)/($E31-1))</f>
        <v>2</v>
      </c>
      <c r="J31" s="15"/>
    </row>
    <row r="32" customFormat="false" ht="12.8" hidden="false" customHeight="true" outlineLevel="0" collapsed="false">
      <c r="A32" s="17" t="s">
        <v>13</v>
      </c>
      <c r="B32" s="18" t="n">
        <v>8</v>
      </c>
      <c r="C32" s="19" t="n">
        <v>10</v>
      </c>
      <c r="D32" s="19"/>
      <c r="E32" s="19" t="n">
        <v>2</v>
      </c>
      <c r="F32" s="25"/>
      <c r="G32" s="19"/>
      <c r="H32" s="19"/>
      <c r="I32" s="18" t="n">
        <f aca="false">IF($E32=1, 0, (MAX($G32,$F32,$C32,$B32)-$B32)/($E32-1))</f>
        <v>2</v>
      </c>
      <c r="J32" s="23"/>
    </row>
    <row r="33" customFormat="false" ht="12.8" hidden="false" customHeight="true" outlineLevel="0" collapsed="false">
      <c r="A33" s="17" t="s">
        <v>13</v>
      </c>
      <c r="B33" s="18" t="n">
        <v>8</v>
      </c>
      <c r="C33" s="19" t="n">
        <v>6</v>
      </c>
      <c r="D33" s="19"/>
      <c r="E33" s="19" t="n">
        <v>3</v>
      </c>
      <c r="F33" s="25" t="n">
        <v>10</v>
      </c>
      <c r="G33" s="19"/>
      <c r="H33" s="19"/>
      <c r="I33" s="18" t="n">
        <f aca="false">IF($E33=1, 0, (MAX($G33,$F33,$C33,$B33)-$B33)/($E33-1))</f>
        <v>1</v>
      </c>
      <c r="J33" s="15"/>
    </row>
    <row r="34" customFormat="false" ht="12.8" hidden="false" customHeight="true" outlineLevel="0" collapsed="false">
      <c r="A34" s="17" t="s">
        <v>13</v>
      </c>
      <c r="B34" s="18" t="n">
        <v>9</v>
      </c>
      <c r="C34" s="19" t="n">
        <v>10</v>
      </c>
      <c r="D34" s="19"/>
      <c r="E34" s="19" t="n">
        <v>2</v>
      </c>
      <c r="F34" s="19"/>
      <c r="G34" s="19"/>
      <c r="H34" s="20"/>
      <c r="I34" s="18" t="n">
        <f aca="false">IF($E34=1, 0, (MAX($G34,$F34,$C34,$B34)-$B34)/($E34-1))</f>
        <v>1</v>
      </c>
      <c r="J34" s="15"/>
    </row>
    <row r="35" customFormat="false" ht="12.8" hidden="false" customHeight="true" outlineLevel="0" collapsed="false">
      <c r="A35" s="17" t="s">
        <v>13</v>
      </c>
      <c r="B35" s="18" t="n">
        <v>8</v>
      </c>
      <c r="C35" s="19" t="n">
        <v>8</v>
      </c>
      <c r="D35" s="19"/>
      <c r="E35" s="19" t="n">
        <v>3</v>
      </c>
      <c r="F35" s="19" t="n">
        <v>10</v>
      </c>
      <c r="G35" s="19"/>
      <c r="H35" s="19"/>
      <c r="I35" s="18" t="n">
        <f aca="false">IF($E35=1, 0, (MAX($G35,$F35,$C35,$B35)-$B35)/($E35-1))</f>
        <v>1</v>
      </c>
      <c r="J35" s="23"/>
    </row>
    <row r="36" customFormat="false" ht="12.8" hidden="false" customHeight="true" outlineLevel="0" collapsed="false">
      <c r="A36" s="17" t="s">
        <v>13</v>
      </c>
      <c r="B36" s="18" t="n">
        <v>8</v>
      </c>
      <c r="C36" s="19" t="n">
        <v>10</v>
      </c>
      <c r="D36" s="19"/>
      <c r="E36" s="19" t="n">
        <v>2</v>
      </c>
      <c r="F36" s="19"/>
      <c r="G36" s="19"/>
      <c r="H36" s="20"/>
      <c r="I36" s="18" t="n">
        <f aca="false">IF($E36=1, 0, (MAX($G36,$F36,$C36,$B36)-$B36)/($E36-1))</f>
        <v>2</v>
      </c>
      <c r="J36" s="15"/>
    </row>
    <row r="37" customFormat="false" ht="12.8" hidden="false" customHeight="true" outlineLevel="0" collapsed="false">
      <c r="A37" s="6"/>
      <c r="B37" s="8"/>
      <c r="C37" s="13"/>
      <c r="D37" s="13"/>
      <c r="E37" s="13"/>
      <c r="F37" s="13"/>
      <c r="G37" s="13"/>
      <c r="H37" s="13"/>
      <c r="I37" s="22"/>
      <c r="J37" s="23"/>
    </row>
    <row r="38" customFormat="false" ht="12.8" hidden="false" customHeight="true" outlineLevel="0" collapsed="false">
      <c r="A38" s="6"/>
      <c r="B38" s="8"/>
      <c r="C38" s="13"/>
      <c r="D38" s="13"/>
      <c r="E38" s="13"/>
      <c r="F38" s="13"/>
      <c r="G38" s="13"/>
      <c r="H38" s="29"/>
      <c r="I38" s="21"/>
      <c r="J38" s="15"/>
    </row>
    <row r="39" customFormat="false" ht="12.8" hidden="false" customHeight="true" outlineLevel="0" collapsed="false">
      <c r="A39" s="6"/>
      <c r="B39" s="8"/>
      <c r="C39" s="13"/>
      <c r="D39" s="13"/>
      <c r="E39" s="13"/>
      <c r="F39" s="13"/>
      <c r="G39" s="13"/>
      <c r="H39" s="13"/>
      <c r="I39" s="22"/>
      <c r="J39" s="23"/>
    </row>
    <row r="40" customFormat="false" ht="12.8" hidden="false" customHeight="true" outlineLevel="0" collapsed="false">
      <c r="A40" s="6"/>
      <c r="B40" s="8"/>
      <c r="C40" s="13"/>
      <c r="D40" s="13"/>
      <c r="E40" s="13"/>
      <c r="F40" s="13"/>
      <c r="G40" s="13"/>
      <c r="H40" s="11"/>
      <c r="I40" s="21"/>
      <c r="J40" s="15"/>
    </row>
    <row r="41" customFormat="false" ht="12.8" hidden="false" customHeight="true" outlineLevel="0" collapsed="false">
      <c r="A41" s="6"/>
      <c r="B41" s="13"/>
      <c r="C41" s="13"/>
      <c r="D41" s="13"/>
      <c r="E41" s="13"/>
      <c r="F41" s="13"/>
      <c r="G41" s="13"/>
      <c r="H41" s="13"/>
      <c r="I41" s="22"/>
      <c r="J41" s="23"/>
    </row>
    <row r="42" customFormat="false" ht="12.8" hidden="false" customHeight="true" outlineLevel="0" collapsed="false">
      <c r="A42" s="6"/>
      <c r="B42" s="13"/>
      <c r="C42" s="13"/>
      <c r="D42" s="13"/>
      <c r="E42" s="13"/>
      <c r="F42" s="13"/>
      <c r="G42" s="13"/>
      <c r="H42" s="13"/>
      <c r="I42" s="21"/>
      <c r="J42" s="15"/>
    </row>
    <row r="43" customFormat="false" ht="12.8" hidden="false" customHeight="true" outlineLevel="0" collapsed="false">
      <c r="A43" s="6"/>
      <c r="B43" s="13"/>
      <c r="C43" s="13"/>
      <c r="D43" s="13"/>
      <c r="E43" s="13"/>
      <c r="F43" s="13"/>
      <c r="G43" s="13"/>
      <c r="H43" s="29"/>
      <c r="I43" s="21"/>
      <c r="J43" s="15"/>
    </row>
    <row r="44" customFormat="false" ht="12.8" hidden="false" customHeight="true" outlineLevel="0" collapsed="false">
      <c r="A44" s="6"/>
      <c r="B44" s="13"/>
      <c r="C44" s="13"/>
      <c r="D44" s="13"/>
      <c r="E44" s="13"/>
      <c r="F44" s="13"/>
      <c r="G44" s="13"/>
      <c r="H44" s="13"/>
      <c r="I44" s="22"/>
      <c r="J44" s="23"/>
    </row>
    <row r="45" customFormat="false" ht="12.8" hidden="false" customHeight="true" outlineLevel="0" collapsed="false">
      <c r="A45" s="6"/>
      <c r="B45" s="13"/>
      <c r="C45" s="13"/>
      <c r="D45" s="13"/>
      <c r="E45" s="13"/>
      <c r="F45" s="13"/>
      <c r="G45" s="13"/>
      <c r="H45" s="29"/>
      <c r="I45" s="21"/>
      <c r="J45" s="15"/>
    </row>
    <row r="46" customFormat="false" ht="12.8" hidden="false" customHeight="true" outlineLevel="0" collapsed="false">
      <c r="A46" s="6"/>
      <c r="B46" s="13"/>
      <c r="C46" s="13"/>
      <c r="D46" s="13"/>
      <c r="E46" s="13"/>
      <c r="F46" s="13"/>
      <c r="G46" s="13"/>
      <c r="H46" s="13"/>
      <c r="I46" s="21"/>
      <c r="J46" s="15"/>
    </row>
    <row r="47" customFormat="false" ht="12.8" hidden="false" customHeight="true" outlineLevel="0" collapsed="false">
      <c r="A47" s="6"/>
      <c r="B47" s="13"/>
      <c r="C47" s="13"/>
      <c r="D47" s="13"/>
      <c r="E47" s="13"/>
      <c r="F47" s="13"/>
      <c r="G47" s="13"/>
      <c r="H47" s="13"/>
      <c r="I47" s="21"/>
      <c r="J47" s="15"/>
    </row>
    <row r="48" customFormat="false" ht="12.8" hidden="false" customHeight="true" outlineLevel="0" collapsed="false">
      <c r="A48" s="6"/>
      <c r="B48" s="13"/>
      <c r="C48" s="13"/>
      <c r="D48" s="13"/>
      <c r="E48" s="13"/>
      <c r="F48" s="13"/>
      <c r="G48" s="13"/>
      <c r="H48" s="13"/>
      <c r="I48" s="22"/>
      <c r="J48" s="23"/>
    </row>
    <row r="49" customFormat="false" ht="12.8" hidden="false" customHeight="true" outlineLevel="0" collapsed="false">
      <c r="A49" s="6"/>
      <c r="B49" s="13"/>
      <c r="C49" s="13"/>
      <c r="D49" s="13"/>
      <c r="E49" s="13"/>
      <c r="F49" s="13"/>
      <c r="G49" s="13"/>
      <c r="H49" s="29"/>
      <c r="I49" s="21"/>
      <c r="J49" s="15"/>
    </row>
    <row r="50" customFormat="false" ht="12.8" hidden="false" customHeight="true" outlineLevel="0" collapsed="false">
      <c r="A50" s="6"/>
      <c r="B50" s="13"/>
      <c r="C50" s="13"/>
      <c r="D50" s="13"/>
      <c r="E50" s="13"/>
      <c r="F50" s="13"/>
      <c r="G50" s="13"/>
      <c r="H50" s="13"/>
      <c r="I50" s="22"/>
      <c r="J50" s="23"/>
    </row>
    <row r="51" customFormat="false" ht="12.8" hidden="false" customHeight="true" outlineLevel="0" collapsed="false">
      <c r="A51" s="6"/>
      <c r="B51" s="13"/>
      <c r="C51" s="13"/>
      <c r="D51" s="13"/>
      <c r="E51" s="13"/>
      <c r="F51" s="13"/>
      <c r="G51" s="13"/>
      <c r="H51" s="29"/>
      <c r="I51" s="21"/>
      <c r="J51" s="15"/>
    </row>
    <row r="52" customFormat="false" ht="12.8" hidden="false" customHeight="true" outlineLevel="0" collapsed="false">
      <c r="A52" s="6"/>
      <c r="B52" s="13"/>
      <c r="C52" s="13"/>
      <c r="D52" s="13"/>
      <c r="E52" s="13"/>
      <c r="F52" s="13"/>
      <c r="G52" s="13"/>
      <c r="H52" s="13"/>
      <c r="I52" s="21"/>
      <c r="J52" s="1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516</TotalTime>
  <Application>LibreOffice/7.4.4.2$Windows_X86_64 LibreOffice_project/85569322deea74ec9134968a29af2df5663baa21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2025-10-17T13:52:38Z</dcterms:created>
  <dc:creator/>
  <dc:description/>
  <dc:language>pt-BR</dc:language>
  <cp:lastModifiedBy/>
  <dcterms:modified xsi:type="dcterms:W3CDTF">2026-01-12T16:02:26Z</dcterms:modified>
  <cp:revision>131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