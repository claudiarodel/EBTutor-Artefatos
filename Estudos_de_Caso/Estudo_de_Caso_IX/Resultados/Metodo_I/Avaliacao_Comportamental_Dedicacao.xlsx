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<sst xmlns="http://schemas.openxmlformats.org/spreadsheetml/2006/main" count="413" uniqueCount="21">
  <si>
    <t xml:space="preserve">nome</t>
  </si>
  <si>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</si>
  <si>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</si>
  <si>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</si>
  <si>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</si>
  <si>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</si>
  <si>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</si>
  <si>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</si>
  <si>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</si>
  <si>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</si>
  <si>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</si>
  <si>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</si>
  <si>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</si>
  <si>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</si>
  <si>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</si>
  <si>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</si>
  <si>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R</t>
  </si>
  <si>
    <t xml:space="preserve">B</t>
  </si>
  <si>
    <t xml:space="preserve">I</t>
  </si>
  <si>
    <t xml:space="preserve">MB</t>
  </si>
  <si>
    <t xml:space="preserve">controle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</si>
</sst>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.00"/>
    <numFmt numFmtId="167" formatCode="0.000"/>
    <numFmt numFmtId="168" formatCode="0.00"/>
    <numFmt numFmtId="169" formatCode="#,##0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3"/>
  <sheetViews>
    <sheetView showFormulas="false" showGridLines="true" showRowColHeaders="true" showZeros="true" rightToLeft="false" tabSelected="true" showOutlineSymbols="true" defaultGridColor="true" view="normal" topLeftCell="B118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07"/>
    <col collapsed="false" customWidth="true" hidden="false" outlineLevel="0" max="2" min="2" style="1" width="13.98"/>
    <col collapsed="false" customWidth="true" hidden="false" outlineLevel="0" max="3" min="3" style="1" width="18.97"/>
    <col collapsed="false" customWidth="true" hidden="false" outlineLevel="0" max="5" min="5" style="1" width="16.15"/>
    <col collapsed="false" customWidth="true" hidden="false" outlineLevel="0" max="6" min="6" style="1" width="14.09"/>
    <col collapsed="false" customWidth="true" hidden="false" outlineLevel="0" max="7" min="7" style="1" width="17.45"/>
    <col collapsed="false" customWidth="true" hidden="false" outlineLevel="0" max="9" min="8" style="1" width="19.19"/>
    <col collapsed="false" customWidth="true" hidden="false" outlineLevel="0" max="10" min="10" style="1" width="18.87"/>
    <col collapsed="false" customWidth="true" hidden="false" outlineLevel="0" max="11" min="11" style="1" width="23.31"/>
    <col collapsed="false" customWidth="true" hidden="false" outlineLevel="0" max="12" min="12" style="1" width="22.1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1" t="s">
        <v>12</v>
      </c>
      <c r="O1" s="1" t="s">
        <v>13</v>
      </c>
      <c r="P1" s="1" t="s">
        <v>14</v>
      </c>
    </row>
    <row r="2" customFormat="false" ht="12.8" hidden="false" customHeight="false" outlineLevel="0" collapsed="false">
      <c r="A2" s="4"/>
      <c r="B2" s="5" t="s">
        <v>15</v>
      </c>
      <c r="C2" s="5" t="s">
        <v>16</v>
      </c>
      <c r="D2" s="6" t="n">
        <v>3.45</v>
      </c>
      <c r="E2" s="6" t="s">
        <v>17</v>
      </c>
      <c r="F2" s="7" t="n">
        <v>6.45</v>
      </c>
      <c r="G2" s="5"/>
      <c r="H2" s="8"/>
      <c r="I2" s="9" t="n">
        <f aca="false">F2-D2</f>
        <v>3</v>
      </c>
      <c r="J2" s="10"/>
      <c r="K2" s="9" t="n">
        <f aca="false">(F2-D2)/(10-D2)</f>
        <v>0.458015267175573</v>
      </c>
      <c r="L2" s="10"/>
      <c r="M2" s="1" t="s">
        <v>15</v>
      </c>
      <c r="N2" s="11" t="n">
        <f aca="false">AVERAGE(K2:K133)</f>
        <v>0.694700760093539</v>
      </c>
      <c r="O2" s="11" t="n">
        <f aca="false">MEDIAN(K2:K133)</f>
        <v>0.801526717557252</v>
      </c>
      <c r="P2" s="11" t="n">
        <f aca="false">STDEV(K2:K133)</f>
        <v>0.155509495877549</v>
      </c>
    </row>
    <row r="3" customFormat="false" ht="12.8" hidden="false" customHeight="false" outlineLevel="0" collapsed="false">
      <c r="A3" s="4"/>
      <c r="B3" s="5" t="s">
        <v>15</v>
      </c>
      <c r="C3" s="5" t="s">
        <v>18</v>
      </c>
      <c r="D3" s="6" t="n">
        <v>0.95</v>
      </c>
      <c r="E3" s="6" t="s">
        <v>17</v>
      </c>
      <c r="F3" s="7" t="n">
        <v>6.45</v>
      </c>
      <c r="G3" s="5"/>
      <c r="H3" s="8"/>
      <c r="I3" s="9" t="n">
        <f aca="false">F3-D3</f>
        <v>5.5</v>
      </c>
      <c r="J3" s="9"/>
      <c r="K3" s="9" t="n">
        <f aca="false">(F3-D3)/(10-D3)</f>
        <v>0.607734806629834</v>
      </c>
      <c r="L3" s="9"/>
      <c r="N3" s="11"/>
      <c r="O3" s="11"/>
    </row>
    <row r="4" customFormat="false" ht="12.8" hidden="false" customHeight="false" outlineLevel="0" collapsed="false">
      <c r="A4" s="4"/>
      <c r="B4" s="5" t="s">
        <v>15</v>
      </c>
      <c r="C4" s="5" t="s">
        <v>17</v>
      </c>
      <c r="D4" s="6" t="n">
        <v>6.45</v>
      </c>
      <c r="E4" s="6" t="s">
        <v>19</v>
      </c>
      <c r="F4" s="7" t="n">
        <v>8.7</v>
      </c>
      <c r="G4" s="5"/>
      <c r="H4" s="8"/>
      <c r="I4" s="9" t="n">
        <f aca="false">F4-D4</f>
        <v>2.25</v>
      </c>
      <c r="J4" s="9"/>
      <c r="K4" s="9" t="n">
        <f aca="false">(F4-D4)/(10-D4)</f>
        <v>0.633802816901408</v>
      </c>
      <c r="L4" s="9"/>
      <c r="N4" s="11"/>
      <c r="O4" s="11"/>
    </row>
    <row r="5" customFormat="false" ht="12.8" hidden="false" customHeight="false" outlineLevel="0" collapsed="false">
      <c r="A5" s="4"/>
      <c r="B5" s="5" t="s">
        <v>15</v>
      </c>
      <c r="C5" s="5" t="s">
        <v>18</v>
      </c>
      <c r="D5" s="6" t="n">
        <v>0.95</v>
      </c>
      <c r="E5" s="6" t="s">
        <v>19</v>
      </c>
      <c r="F5" s="7" t="n">
        <v>8.7</v>
      </c>
      <c r="G5" s="5"/>
      <c r="H5" s="8"/>
      <c r="I5" s="9" t="n">
        <f aca="false">F5-D5</f>
        <v>7.75</v>
      </c>
      <c r="J5" s="9"/>
      <c r="K5" s="9" t="n">
        <f aca="false">(F5-D5)/(10-D5)</f>
        <v>0.856353591160221</v>
      </c>
      <c r="L5" s="9"/>
      <c r="M5" s="1" t="s">
        <v>20</v>
      </c>
      <c r="N5" s="11" t="n">
        <f aca="false">AVERAGE(L2:L133)</f>
        <v>0.521892336969252</v>
      </c>
      <c r="O5" s="11" t="n">
        <f aca="false">MEDIAN(L2:L133)</f>
        <v>0.620768811765621</v>
      </c>
      <c r="P5" s="11" t="n">
        <f aca="false">STDEV(L2:L133)</f>
        <v>0.3026329567939</v>
      </c>
    </row>
    <row r="6" customFormat="false" ht="12.8" hidden="false" customHeight="false" outlineLevel="0" collapsed="false">
      <c r="A6" s="4"/>
      <c r="B6" s="5" t="s">
        <v>15</v>
      </c>
      <c r="C6" s="5" t="s">
        <v>16</v>
      </c>
      <c r="D6" s="6" t="n">
        <v>3.45</v>
      </c>
      <c r="E6" s="6" t="s">
        <v>19</v>
      </c>
      <c r="F6" s="7" t="n">
        <v>8.7</v>
      </c>
      <c r="G6" s="5"/>
      <c r="H6" s="8"/>
      <c r="I6" s="9" t="n">
        <f aca="false">F6-D6</f>
        <v>5.25</v>
      </c>
      <c r="J6" s="9"/>
      <c r="K6" s="9" t="n">
        <f aca="false">(F6-D6)/(10-D6)</f>
        <v>0.801526717557252</v>
      </c>
      <c r="L6" s="9"/>
    </row>
    <row r="7" customFormat="false" ht="12.8" hidden="false" customHeight="false" outlineLevel="0" collapsed="false">
      <c r="A7" s="4"/>
      <c r="B7" s="5" t="s">
        <v>15</v>
      </c>
      <c r="C7" s="5" t="s">
        <v>16</v>
      </c>
      <c r="D7" s="6" t="n">
        <v>3.45</v>
      </c>
      <c r="E7" s="6" t="s">
        <v>19</v>
      </c>
      <c r="F7" s="7" t="n">
        <v>8.7</v>
      </c>
      <c r="G7" s="5"/>
      <c r="H7" s="8"/>
      <c r="I7" s="9" t="n">
        <f aca="false">F7-D7</f>
        <v>5.25</v>
      </c>
      <c r="J7" s="9"/>
      <c r="K7" s="9" t="n">
        <f aca="false">(F7-D7)/(10-D7)</f>
        <v>0.801526717557252</v>
      </c>
      <c r="L7" s="9"/>
    </row>
    <row r="8" customFormat="false" ht="12.8" hidden="false" customHeight="false" outlineLevel="0" collapsed="false">
      <c r="A8" s="4"/>
      <c r="B8" s="5" t="s">
        <v>15</v>
      </c>
      <c r="C8" s="5" t="s">
        <v>18</v>
      </c>
      <c r="D8" s="6" t="n">
        <v>0.95</v>
      </c>
      <c r="E8" s="6" t="s">
        <v>19</v>
      </c>
      <c r="F8" s="7" t="n">
        <v>8.7</v>
      </c>
      <c r="G8" s="5"/>
      <c r="H8" s="8"/>
      <c r="I8" s="9" t="n">
        <f aca="false">F8-D8</f>
        <v>7.75</v>
      </c>
      <c r="J8" s="9"/>
      <c r="K8" s="9" t="n">
        <f aca="false">(F8-D8)/(10-D8)</f>
        <v>0.856353591160221</v>
      </c>
      <c r="L8" s="9"/>
    </row>
    <row r="9" customFormat="false" ht="12.8" hidden="false" customHeight="false" outlineLevel="0" collapsed="false">
      <c r="A9" s="4"/>
      <c r="B9" s="5" t="s">
        <v>15</v>
      </c>
      <c r="C9" s="5" t="s">
        <v>18</v>
      </c>
      <c r="D9" s="6" t="n">
        <v>0.95</v>
      </c>
      <c r="E9" s="6" t="s">
        <v>17</v>
      </c>
      <c r="F9" s="7" t="n">
        <v>6.45</v>
      </c>
      <c r="G9" s="5"/>
      <c r="H9" s="8"/>
      <c r="I9" s="9" t="n">
        <f aca="false">F9-D9</f>
        <v>5.5</v>
      </c>
      <c r="J9" s="9"/>
      <c r="K9" s="9" t="n">
        <f aca="false">(F9-D9)/(10-D9)</f>
        <v>0.607734806629834</v>
      </c>
      <c r="L9" s="9"/>
    </row>
    <row r="10" customFormat="false" ht="12.8" hidden="false" customHeight="false" outlineLevel="0" collapsed="false">
      <c r="A10" s="4"/>
      <c r="B10" s="5" t="s">
        <v>15</v>
      </c>
      <c r="C10" s="5" t="s">
        <v>16</v>
      </c>
      <c r="D10" s="6" t="n">
        <v>3.45</v>
      </c>
      <c r="E10" s="6" t="s">
        <v>19</v>
      </c>
      <c r="F10" s="7" t="n">
        <v>8.7</v>
      </c>
      <c r="G10" s="5"/>
      <c r="H10" s="8"/>
      <c r="I10" s="9" t="n">
        <f aca="false">F10-D10</f>
        <v>5.25</v>
      </c>
      <c r="J10" s="9"/>
      <c r="K10" s="9" t="n">
        <f aca="false">(F10-D10)/(10-D10)</f>
        <v>0.801526717557252</v>
      </c>
      <c r="L10" s="9"/>
    </row>
    <row r="11" customFormat="false" ht="12.8" hidden="false" customHeight="false" outlineLevel="0" collapsed="false">
      <c r="A11" s="4"/>
      <c r="B11" s="5" t="s">
        <v>15</v>
      </c>
      <c r="C11" s="5" t="s">
        <v>16</v>
      </c>
      <c r="D11" s="6" t="n">
        <v>3.45</v>
      </c>
      <c r="E11" s="6" t="s">
        <v>19</v>
      </c>
      <c r="F11" s="7" t="n">
        <v>8.7</v>
      </c>
      <c r="G11" s="5"/>
      <c r="H11" s="8"/>
      <c r="I11" s="9" t="n">
        <f aca="false">F11-D11</f>
        <v>5.25</v>
      </c>
      <c r="J11" s="9"/>
      <c r="K11" s="9" t="n">
        <f aca="false">(F11-D11)/(10-D11)</f>
        <v>0.801526717557252</v>
      </c>
      <c r="L11" s="9"/>
    </row>
    <row r="12" customFormat="false" ht="12.8" hidden="false" customHeight="false" outlineLevel="0" collapsed="false">
      <c r="A12" s="4"/>
      <c r="B12" s="5" t="s">
        <v>15</v>
      </c>
      <c r="C12" s="5" t="s">
        <v>16</v>
      </c>
      <c r="D12" s="6" t="n">
        <v>3.45</v>
      </c>
      <c r="E12" s="6" t="s">
        <v>17</v>
      </c>
      <c r="F12" s="7" t="n">
        <v>6.45</v>
      </c>
      <c r="G12" s="5"/>
      <c r="H12" s="8"/>
      <c r="I12" s="9" t="n">
        <f aca="false">F12-D12</f>
        <v>3</v>
      </c>
      <c r="J12" s="9"/>
      <c r="K12" s="9" t="n">
        <f aca="false">(F12-D12)/(10-D12)</f>
        <v>0.458015267175573</v>
      </c>
      <c r="L12" s="9"/>
    </row>
    <row r="13" customFormat="false" ht="12.8" hidden="false" customHeight="false" outlineLevel="0" collapsed="false">
      <c r="A13" s="4"/>
      <c r="B13" s="5" t="s">
        <v>15</v>
      </c>
      <c r="C13" s="5" t="s">
        <v>16</v>
      </c>
      <c r="D13" s="6" t="n">
        <v>3.45</v>
      </c>
      <c r="E13" s="6" t="s">
        <v>19</v>
      </c>
      <c r="F13" s="7" t="n">
        <v>8.7</v>
      </c>
      <c r="G13" s="5"/>
      <c r="H13" s="8"/>
      <c r="I13" s="9" t="n">
        <f aca="false">F13-D13</f>
        <v>5.25</v>
      </c>
      <c r="J13" s="9"/>
      <c r="K13" s="9" t="n">
        <f aca="false">(F13-D13)/(10-D13)</f>
        <v>0.801526717557252</v>
      </c>
      <c r="L13" s="9"/>
    </row>
    <row r="14" customFormat="false" ht="12.8" hidden="false" customHeight="false" outlineLevel="0" collapsed="false">
      <c r="A14" s="4"/>
      <c r="B14" s="5" t="s">
        <v>15</v>
      </c>
      <c r="C14" s="5" t="s">
        <v>16</v>
      </c>
      <c r="D14" s="6" t="n">
        <v>3.45</v>
      </c>
      <c r="E14" s="6" t="s">
        <v>19</v>
      </c>
      <c r="F14" s="7" t="n">
        <v>8.7</v>
      </c>
      <c r="G14" s="5"/>
      <c r="H14" s="12"/>
      <c r="I14" s="9" t="n">
        <f aca="false">F14-D14</f>
        <v>5.25</v>
      </c>
      <c r="J14" s="9"/>
      <c r="K14" s="9" t="n">
        <f aca="false">(F14-D14)/(10-D14)</f>
        <v>0.801526717557252</v>
      </c>
      <c r="L14" s="9"/>
    </row>
    <row r="15" customFormat="false" ht="12.8" hidden="false" customHeight="false" outlineLevel="0" collapsed="false">
      <c r="A15" s="4"/>
      <c r="B15" s="5" t="s">
        <v>15</v>
      </c>
      <c r="C15" s="2" t="s">
        <v>16</v>
      </c>
      <c r="D15" s="6" t="n">
        <v>3.45</v>
      </c>
      <c r="E15" s="6" t="s">
        <v>19</v>
      </c>
      <c r="F15" s="7" t="n">
        <v>8.7</v>
      </c>
      <c r="G15" s="5"/>
      <c r="H15" s="8"/>
      <c r="I15" s="9" t="n">
        <f aca="false">F15-D15</f>
        <v>5.25</v>
      </c>
      <c r="J15" s="9"/>
      <c r="K15" s="9" t="n">
        <f aca="false">(F15-D15)/(10-D15)</f>
        <v>0.801526717557252</v>
      </c>
      <c r="L15" s="9"/>
    </row>
    <row r="16" customFormat="false" ht="12.8" hidden="false" customHeight="false" outlineLevel="0" collapsed="false">
      <c r="A16" s="4"/>
      <c r="B16" s="5" t="s">
        <v>15</v>
      </c>
      <c r="C16" s="5" t="s">
        <v>17</v>
      </c>
      <c r="D16" s="6" t="n">
        <v>6.45</v>
      </c>
      <c r="E16" s="6" t="s">
        <v>19</v>
      </c>
      <c r="F16" s="7" t="n">
        <v>8.7</v>
      </c>
      <c r="G16" s="5"/>
      <c r="H16" s="8"/>
      <c r="I16" s="9" t="n">
        <f aca="false">F16-D16</f>
        <v>2.25</v>
      </c>
      <c r="J16" s="9"/>
      <c r="K16" s="9" t="n">
        <f aca="false">(F16-D16)/(10-D16)</f>
        <v>0.633802816901408</v>
      </c>
      <c r="L16" s="9"/>
    </row>
    <row r="17" customFormat="false" ht="12.8" hidden="false" customHeight="false" outlineLevel="0" collapsed="false">
      <c r="A17" s="4"/>
      <c r="B17" s="5" t="s">
        <v>15</v>
      </c>
      <c r="C17" s="2" t="s">
        <v>16</v>
      </c>
      <c r="D17" s="6" t="n">
        <v>3.45</v>
      </c>
      <c r="E17" s="6" t="s">
        <v>19</v>
      </c>
      <c r="F17" s="7" t="n">
        <v>8.7</v>
      </c>
      <c r="G17" s="5"/>
      <c r="H17" s="8"/>
      <c r="I17" s="9" t="n">
        <f aca="false">F17-D17</f>
        <v>5.25</v>
      </c>
      <c r="J17" s="9"/>
      <c r="K17" s="9" t="n">
        <f aca="false">(F17-D17)/(10-D17)</f>
        <v>0.801526717557252</v>
      </c>
      <c r="L17" s="9"/>
    </row>
    <row r="18" customFormat="false" ht="12.8" hidden="false" customHeight="false" outlineLevel="0" collapsed="false">
      <c r="A18" s="4"/>
      <c r="B18" s="5" t="s">
        <v>15</v>
      </c>
      <c r="C18" s="2" t="s">
        <v>16</v>
      </c>
      <c r="D18" s="6" t="n">
        <v>3.45</v>
      </c>
      <c r="E18" s="6" t="s">
        <v>17</v>
      </c>
      <c r="F18" s="7" t="n">
        <v>6.45</v>
      </c>
      <c r="G18" s="5"/>
      <c r="H18" s="8"/>
      <c r="I18" s="9" t="n">
        <f aca="false">F18-D18</f>
        <v>3</v>
      </c>
      <c r="J18" s="9"/>
      <c r="K18" s="9" t="n">
        <f aca="false">(F18-D18)/(10-D18)</f>
        <v>0.458015267175573</v>
      </c>
      <c r="L18" s="9"/>
    </row>
    <row r="19" customFormat="false" ht="12.8" hidden="false" customHeight="false" outlineLevel="0" collapsed="false">
      <c r="A19" s="4"/>
      <c r="B19" s="5" t="s">
        <v>15</v>
      </c>
      <c r="C19" s="5" t="s">
        <v>17</v>
      </c>
      <c r="D19" s="6" t="n">
        <v>6.45</v>
      </c>
      <c r="E19" s="6" t="s">
        <v>19</v>
      </c>
      <c r="F19" s="7" t="n">
        <v>8.7</v>
      </c>
      <c r="G19" s="5"/>
      <c r="H19" s="8"/>
      <c r="I19" s="9" t="n">
        <f aca="false">F19-D19</f>
        <v>2.25</v>
      </c>
      <c r="J19" s="9"/>
      <c r="K19" s="9" t="n">
        <f aca="false">(F19-D19)/(10-D19)</f>
        <v>0.633802816901408</v>
      </c>
      <c r="L19" s="13"/>
    </row>
    <row r="20" customFormat="false" ht="12.8" hidden="false" customHeight="false" outlineLevel="0" collapsed="false">
      <c r="A20" s="4"/>
      <c r="B20" s="5" t="s">
        <v>15</v>
      </c>
      <c r="C20" s="5" t="s">
        <v>17</v>
      </c>
      <c r="D20" s="6" t="n">
        <v>6.45</v>
      </c>
      <c r="E20" s="6" t="s">
        <v>19</v>
      </c>
      <c r="F20" s="7" t="n">
        <v>8.7</v>
      </c>
      <c r="G20" s="5"/>
      <c r="H20" s="8"/>
      <c r="I20" s="9" t="n">
        <f aca="false">F20-D20</f>
        <v>2.25</v>
      </c>
      <c r="J20" s="9"/>
      <c r="K20" s="9" t="n">
        <f aca="false">(F20-D20)/(10-D20)</f>
        <v>0.633802816901408</v>
      </c>
      <c r="L20" s="9"/>
    </row>
    <row r="21" customFormat="false" ht="12.8" hidden="false" customHeight="false" outlineLevel="0" collapsed="false">
      <c r="A21" s="3"/>
      <c r="B21" s="5" t="s">
        <v>15</v>
      </c>
      <c r="C21" s="5" t="s">
        <v>17</v>
      </c>
      <c r="D21" s="6" t="n">
        <v>6.45</v>
      </c>
      <c r="E21" s="6" t="s">
        <v>19</v>
      </c>
      <c r="F21" s="7" t="n">
        <v>8.7</v>
      </c>
      <c r="G21" s="5"/>
      <c r="H21" s="8"/>
      <c r="I21" s="9" t="n">
        <f aca="false">F21-D21</f>
        <v>2.25</v>
      </c>
      <c r="J21" s="14"/>
      <c r="K21" s="9" t="n">
        <f aca="false">(F21-D21)/(10-D21)</f>
        <v>0.633802816901408</v>
      </c>
      <c r="L21" s="13"/>
    </row>
    <row r="22" customFormat="false" ht="12.8" hidden="false" customHeight="true" outlineLevel="0" collapsed="false">
      <c r="A22" s="3"/>
      <c r="B22" s="5" t="s">
        <v>15</v>
      </c>
      <c r="C22" s="2" t="s">
        <v>16</v>
      </c>
      <c r="D22" s="6" t="n">
        <v>3.45</v>
      </c>
      <c r="E22" s="6" t="s">
        <v>19</v>
      </c>
      <c r="F22" s="7" t="n">
        <v>8.7</v>
      </c>
      <c r="G22" s="5"/>
      <c r="H22" s="15"/>
      <c r="I22" s="9" t="n">
        <f aca="false">F22-D22</f>
        <v>5.25</v>
      </c>
      <c r="J22" s="9"/>
      <c r="K22" s="9" t="n">
        <f aca="false">(F22-D22)/(10-D22)</f>
        <v>0.801526717557252</v>
      </c>
      <c r="L22" s="9"/>
    </row>
    <row r="23" customFormat="false" ht="12.8" hidden="false" customHeight="true" outlineLevel="0" collapsed="false">
      <c r="A23" s="3"/>
      <c r="B23" s="5" t="s">
        <v>15</v>
      </c>
      <c r="C23" s="2" t="s">
        <v>16</v>
      </c>
      <c r="D23" s="6" t="n">
        <v>3.45</v>
      </c>
      <c r="E23" s="6" t="s">
        <v>19</v>
      </c>
      <c r="F23" s="7" t="n">
        <v>8.7</v>
      </c>
      <c r="G23" s="5"/>
      <c r="H23" s="15"/>
      <c r="I23" s="9" t="n">
        <f aca="false">F23-D23</f>
        <v>5.25</v>
      </c>
      <c r="J23" s="9"/>
      <c r="K23" s="9" t="n">
        <f aca="false">(F23-D23)/(10-D23)</f>
        <v>0.801526717557252</v>
      </c>
      <c r="L23" s="9"/>
    </row>
    <row r="24" customFormat="false" ht="12.8" hidden="false" customHeight="true" outlineLevel="0" collapsed="false">
      <c r="A24" s="3"/>
      <c r="B24" s="5" t="s">
        <v>15</v>
      </c>
      <c r="C24" s="5" t="s">
        <v>17</v>
      </c>
      <c r="D24" s="6" t="n">
        <v>6.45</v>
      </c>
      <c r="E24" s="6" t="s">
        <v>19</v>
      </c>
      <c r="F24" s="7" t="n">
        <v>8.7</v>
      </c>
      <c r="G24" s="5"/>
      <c r="H24" s="15"/>
      <c r="I24" s="9" t="n">
        <f aca="false">F24-D24</f>
        <v>2.25</v>
      </c>
      <c r="J24" s="9"/>
      <c r="K24" s="9" t="n">
        <f aca="false">(F24-D24)/(10-D24)</f>
        <v>0.633802816901408</v>
      </c>
      <c r="L24" s="9"/>
    </row>
    <row r="25" customFormat="false" ht="12.8" hidden="false" customHeight="true" outlineLevel="0" collapsed="false">
      <c r="A25" s="3"/>
      <c r="B25" s="5" t="s">
        <v>15</v>
      </c>
      <c r="C25" s="2" t="s">
        <v>16</v>
      </c>
      <c r="D25" s="6" t="n">
        <v>3.45</v>
      </c>
      <c r="E25" s="5" t="s">
        <v>17</v>
      </c>
      <c r="F25" s="7" t="n">
        <v>6.45</v>
      </c>
      <c r="G25" s="5"/>
      <c r="H25" s="15"/>
      <c r="I25" s="9" t="n">
        <f aca="false">F25-D25</f>
        <v>3</v>
      </c>
      <c r="J25" s="9"/>
      <c r="K25" s="9" t="n">
        <f aca="false">(F25-D25)/(10-D25)</f>
        <v>0.458015267175573</v>
      </c>
      <c r="L25" s="9"/>
    </row>
    <row r="26" customFormat="false" ht="12.8" hidden="false" customHeight="true" outlineLevel="0" collapsed="false">
      <c r="A26" s="3"/>
      <c r="B26" s="16" t="s">
        <v>15</v>
      </c>
      <c r="C26" s="5" t="s">
        <v>18</v>
      </c>
      <c r="D26" s="6" t="n">
        <v>0.95</v>
      </c>
      <c r="E26" s="6" t="s">
        <v>17</v>
      </c>
      <c r="F26" s="7" t="n">
        <v>6.45</v>
      </c>
      <c r="G26" s="16"/>
      <c r="H26" s="8"/>
      <c r="I26" s="9" t="n">
        <f aca="false">F26-D26</f>
        <v>5.5</v>
      </c>
      <c r="J26" s="9"/>
      <c r="K26" s="9" t="n">
        <f aca="false">(F26-D26)/(10-D26)</f>
        <v>0.607734806629834</v>
      </c>
      <c r="L26" s="9"/>
    </row>
    <row r="27" customFormat="false" ht="12.8" hidden="false" customHeight="true" outlineLevel="0" collapsed="false">
      <c r="A27" s="17"/>
      <c r="B27" s="2" t="s">
        <v>15</v>
      </c>
      <c r="C27" s="5" t="s">
        <v>17</v>
      </c>
      <c r="D27" s="6" t="n">
        <v>6.45</v>
      </c>
      <c r="E27" s="6" t="s">
        <v>19</v>
      </c>
      <c r="F27" s="7" t="n">
        <v>8.7</v>
      </c>
      <c r="G27" s="17"/>
      <c r="H27" s="17"/>
      <c r="I27" s="9" t="n">
        <f aca="false">F27-D27</f>
        <v>2.25</v>
      </c>
      <c r="J27" s="17"/>
      <c r="K27" s="9" t="n">
        <f aca="false">(F27-D27)/(10-D27)</f>
        <v>0.633802816901408</v>
      </c>
      <c r="L27" s="17"/>
    </row>
    <row r="28" customFormat="false" ht="12.8" hidden="false" customHeight="true" outlineLevel="0" collapsed="false">
      <c r="A28" s="17"/>
      <c r="B28" s="2" t="s">
        <v>15</v>
      </c>
      <c r="C28" s="2" t="s">
        <v>16</v>
      </c>
      <c r="D28" s="6" t="n">
        <v>3.45</v>
      </c>
      <c r="E28" s="6" t="s">
        <v>19</v>
      </c>
      <c r="F28" s="7" t="n">
        <v>8.7</v>
      </c>
      <c r="G28" s="17"/>
      <c r="H28" s="17"/>
      <c r="I28" s="9" t="n">
        <f aca="false">F28-D28</f>
        <v>5.25</v>
      </c>
      <c r="J28" s="17"/>
      <c r="K28" s="9" t="n">
        <f aca="false">(F28-D28)/(10-D28)</f>
        <v>0.801526717557252</v>
      </c>
      <c r="L28" s="17"/>
    </row>
    <row r="29" customFormat="false" ht="12.8" hidden="false" customHeight="true" outlineLevel="0" collapsed="false">
      <c r="A29" s="17"/>
      <c r="B29" s="2" t="s">
        <v>15</v>
      </c>
      <c r="C29" s="5" t="s">
        <v>17</v>
      </c>
      <c r="D29" s="6" t="n">
        <v>6.45</v>
      </c>
      <c r="E29" s="6" t="s">
        <v>19</v>
      </c>
      <c r="F29" s="7" t="n">
        <v>8.7</v>
      </c>
      <c r="G29" s="17"/>
      <c r="H29" s="17"/>
      <c r="I29" s="9" t="n">
        <f aca="false">F29-D29</f>
        <v>2.25</v>
      </c>
      <c r="J29" s="17"/>
      <c r="K29" s="9" t="n">
        <f aca="false">(F29-D29)/(10-D29)</f>
        <v>0.633802816901408</v>
      </c>
      <c r="L29" s="17"/>
    </row>
    <row r="30" customFormat="false" ht="12.8" hidden="false" customHeight="true" outlineLevel="0" collapsed="false">
      <c r="A30" s="17"/>
      <c r="B30" s="5" t="s">
        <v>15</v>
      </c>
      <c r="C30" s="5" t="s">
        <v>18</v>
      </c>
      <c r="D30" s="6" t="n">
        <v>0.95</v>
      </c>
      <c r="E30" s="6" t="s">
        <v>19</v>
      </c>
      <c r="F30" s="7" t="n">
        <v>8.7</v>
      </c>
      <c r="G30" s="17"/>
      <c r="H30" s="17"/>
      <c r="I30" s="9" t="n">
        <f aca="false">F30-D30</f>
        <v>7.75</v>
      </c>
      <c r="J30" s="17"/>
      <c r="K30" s="9" t="n">
        <f aca="false">(F30-D30)/(10-D30)</f>
        <v>0.856353591160221</v>
      </c>
      <c r="L30" s="17"/>
    </row>
    <row r="31" customFormat="false" ht="12.8" hidden="false" customHeight="true" outlineLevel="0" collapsed="false">
      <c r="A31" s="17"/>
      <c r="B31" s="2" t="s">
        <v>15</v>
      </c>
      <c r="C31" s="2" t="s">
        <v>16</v>
      </c>
      <c r="D31" s="6" t="n">
        <v>3.45</v>
      </c>
      <c r="E31" s="6" t="s">
        <v>17</v>
      </c>
      <c r="F31" s="7" t="n">
        <v>6.45</v>
      </c>
      <c r="G31" s="17"/>
      <c r="H31" s="17"/>
      <c r="I31" s="9" t="n">
        <f aca="false">F31-D31</f>
        <v>3</v>
      </c>
      <c r="J31" s="17"/>
      <c r="K31" s="9" t="n">
        <f aca="false">(F31-D31)/(10-D31)</f>
        <v>0.458015267175573</v>
      </c>
      <c r="L31" s="17"/>
    </row>
    <row r="32" customFormat="false" ht="12.8" hidden="false" customHeight="true" outlineLevel="0" collapsed="false">
      <c r="A32" s="17"/>
      <c r="B32" s="2" t="s">
        <v>15</v>
      </c>
      <c r="C32" s="5" t="s">
        <v>18</v>
      </c>
      <c r="D32" s="6" t="n">
        <v>0.95</v>
      </c>
      <c r="E32" s="2" t="s">
        <v>16</v>
      </c>
      <c r="F32" s="18" t="n">
        <v>3.45</v>
      </c>
      <c r="G32" s="17"/>
      <c r="H32" s="17"/>
      <c r="I32" s="9" t="n">
        <f aca="false">F32-D32</f>
        <v>2.5</v>
      </c>
      <c r="J32" s="17"/>
      <c r="K32" s="9" t="n">
        <f aca="false">(F32-D32)/(10-D32)</f>
        <v>0.276243093922652</v>
      </c>
      <c r="L32" s="17"/>
    </row>
    <row r="33" customFormat="false" ht="12.8" hidden="false" customHeight="true" outlineLevel="0" collapsed="false">
      <c r="A33" s="17"/>
      <c r="B33" s="2" t="s">
        <v>15</v>
      </c>
      <c r="C33" s="2" t="s">
        <v>16</v>
      </c>
      <c r="D33" s="6" t="n">
        <v>3.45</v>
      </c>
      <c r="E33" s="6" t="s">
        <v>19</v>
      </c>
      <c r="F33" s="7" t="n">
        <v>8.7</v>
      </c>
      <c r="G33" s="17"/>
      <c r="H33" s="17"/>
      <c r="I33" s="9" t="n">
        <f aca="false">F33-D33</f>
        <v>5.25</v>
      </c>
      <c r="J33" s="17"/>
      <c r="K33" s="9" t="n">
        <f aca="false">(F33-D33)/(10-D33)</f>
        <v>0.801526717557252</v>
      </c>
      <c r="L33" s="17"/>
    </row>
    <row r="34" customFormat="false" ht="12.8" hidden="false" customHeight="true" outlineLevel="0" collapsed="false">
      <c r="A34" s="17"/>
      <c r="B34" s="2" t="s">
        <v>15</v>
      </c>
      <c r="C34" s="2" t="s">
        <v>16</v>
      </c>
      <c r="D34" s="6" t="n">
        <v>3.45</v>
      </c>
      <c r="E34" s="6" t="s">
        <v>19</v>
      </c>
      <c r="F34" s="7" t="n">
        <v>8.7</v>
      </c>
      <c r="G34" s="17"/>
      <c r="H34" s="17"/>
      <c r="I34" s="9" t="n">
        <f aca="false">F34-D34</f>
        <v>5.25</v>
      </c>
      <c r="J34" s="17"/>
      <c r="K34" s="9" t="n">
        <f aca="false">(F34-D34)/(10-D34)</f>
        <v>0.801526717557252</v>
      </c>
      <c r="L34" s="17"/>
    </row>
    <row r="35" customFormat="false" ht="12.8" hidden="false" customHeight="true" outlineLevel="0" collapsed="false">
      <c r="A35" s="17"/>
      <c r="B35" s="2" t="s">
        <v>15</v>
      </c>
      <c r="C35" s="5" t="s">
        <v>18</v>
      </c>
      <c r="D35" s="6" t="n">
        <v>0.95</v>
      </c>
      <c r="E35" s="6" t="s">
        <v>19</v>
      </c>
      <c r="F35" s="7" t="n">
        <v>8.7</v>
      </c>
      <c r="G35" s="17"/>
      <c r="H35" s="17"/>
      <c r="I35" s="9" t="n">
        <f aca="false">F35-D35</f>
        <v>7.75</v>
      </c>
      <c r="J35" s="17"/>
      <c r="K35" s="9" t="n">
        <f aca="false">(F35-D35)/(10-D35)</f>
        <v>0.856353591160221</v>
      </c>
      <c r="L35" s="17"/>
    </row>
    <row r="36" customFormat="false" ht="12.8" hidden="false" customHeight="true" outlineLevel="0" collapsed="false">
      <c r="A36" s="17"/>
      <c r="B36" s="2" t="s">
        <v>15</v>
      </c>
      <c r="C36" s="5" t="s">
        <v>18</v>
      </c>
      <c r="D36" s="6" t="n">
        <v>0.95</v>
      </c>
      <c r="E36" s="6" t="s">
        <v>17</v>
      </c>
      <c r="F36" s="7" t="n">
        <v>6.45</v>
      </c>
      <c r="G36" s="17"/>
      <c r="H36" s="17"/>
      <c r="I36" s="9" t="n">
        <f aca="false">F36-D36</f>
        <v>5.5</v>
      </c>
      <c r="J36" s="17"/>
      <c r="K36" s="9" t="n">
        <f aca="false">(F36-D36)/(10-D36)</f>
        <v>0.607734806629834</v>
      </c>
      <c r="L36" s="17"/>
    </row>
    <row r="37" customFormat="false" ht="12.8" hidden="false" customHeight="true" outlineLevel="0" collapsed="false">
      <c r="A37" s="17"/>
      <c r="B37" s="2" t="s">
        <v>15</v>
      </c>
      <c r="C37" s="2" t="s">
        <v>16</v>
      </c>
      <c r="D37" s="6" t="n">
        <v>3.45</v>
      </c>
      <c r="E37" s="6" t="s">
        <v>19</v>
      </c>
      <c r="F37" s="7" t="n">
        <v>8.7</v>
      </c>
      <c r="G37" s="17"/>
      <c r="H37" s="17"/>
      <c r="I37" s="9" t="n">
        <f aca="false">F37-D37</f>
        <v>5.25</v>
      </c>
      <c r="J37" s="17"/>
      <c r="K37" s="9" t="n">
        <f aca="false">(F37-D37)/(10-D37)</f>
        <v>0.801526717557252</v>
      </c>
      <c r="L37" s="17"/>
    </row>
    <row r="38" customFormat="false" ht="12.8" hidden="false" customHeight="true" outlineLevel="0" collapsed="false">
      <c r="A38" s="17"/>
      <c r="B38" s="2" t="s">
        <v>15</v>
      </c>
      <c r="C38" s="5" t="s">
        <v>18</v>
      </c>
      <c r="D38" s="6" t="n">
        <v>0.95</v>
      </c>
      <c r="E38" s="6" t="s">
        <v>19</v>
      </c>
      <c r="F38" s="7" t="n">
        <v>8.7</v>
      </c>
      <c r="G38" s="17"/>
      <c r="H38" s="17"/>
      <c r="I38" s="9" t="n">
        <f aca="false">F38-D38</f>
        <v>7.75</v>
      </c>
      <c r="J38" s="17"/>
      <c r="K38" s="9" t="n">
        <f aca="false">(F38-D38)/(10-D38)</f>
        <v>0.856353591160221</v>
      </c>
      <c r="L38" s="17"/>
    </row>
    <row r="39" customFormat="false" ht="12.8" hidden="false" customHeight="true" outlineLevel="0" collapsed="false">
      <c r="A39" s="17"/>
      <c r="B39" s="2" t="s">
        <v>15</v>
      </c>
      <c r="C39" s="5" t="s">
        <v>18</v>
      </c>
      <c r="D39" s="6" t="n">
        <v>0.95</v>
      </c>
      <c r="E39" s="6" t="s">
        <v>19</v>
      </c>
      <c r="F39" s="7" t="n">
        <v>8.7</v>
      </c>
      <c r="G39" s="17"/>
      <c r="H39" s="17"/>
      <c r="I39" s="9" t="n">
        <f aca="false">F39-D39</f>
        <v>7.75</v>
      </c>
      <c r="J39" s="17"/>
      <c r="K39" s="9" t="n">
        <f aca="false">(F39-D39)/(10-D39)</f>
        <v>0.856353591160221</v>
      </c>
      <c r="L39" s="17"/>
    </row>
    <row r="40" customFormat="false" ht="12.8" hidden="false" customHeight="true" outlineLevel="0" collapsed="false">
      <c r="A40" s="17"/>
      <c r="B40" s="2" t="s">
        <v>15</v>
      </c>
      <c r="C40" s="2" t="s">
        <v>16</v>
      </c>
      <c r="D40" s="6" t="n">
        <v>3.45</v>
      </c>
      <c r="E40" s="6" t="s">
        <v>19</v>
      </c>
      <c r="F40" s="7" t="n">
        <v>8.7</v>
      </c>
      <c r="G40" s="17"/>
      <c r="H40" s="17"/>
      <c r="I40" s="9" t="n">
        <f aca="false">F40-D40</f>
        <v>5.25</v>
      </c>
      <c r="J40" s="17"/>
      <c r="K40" s="9" t="n">
        <f aca="false">(F40-D40)/(10-D40)</f>
        <v>0.801526717557252</v>
      </c>
      <c r="L40" s="17"/>
    </row>
    <row r="41" customFormat="false" ht="12.8" hidden="false" customHeight="true" outlineLevel="0" collapsed="false">
      <c r="A41" s="17"/>
      <c r="B41" s="2" t="s">
        <v>15</v>
      </c>
      <c r="C41" s="5" t="s">
        <v>18</v>
      </c>
      <c r="D41" s="6" t="n">
        <v>0.95</v>
      </c>
      <c r="E41" s="6" t="s">
        <v>19</v>
      </c>
      <c r="F41" s="7" t="n">
        <v>8.7</v>
      </c>
      <c r="G41" s="17"/>
      <c r="H41" s="17"/>
      <c r="I41" s="9" t="n">
        <f aca="false">F41-D41</f>
        <v>7.75</v>
      </c>
      <c r="J41" s="17"/>
      <c r="K41" s="9" t="n">
        <f aca="false">(F41-D41)/(10-D41)</f>
        <v>0.856353591160221</v>
      </c>
      <c r="L41" s="17"/>
    </row>
    <row r="42" customFormat="false" ht="12.8" hidden="false" customHeight="true" outlineLevel="0" collapsed="false">
      <c r="A42" s="17"/>
      <c r="B42" s="2" t="s">
        <v>15</v>
      </c>
      <c r="C42" s="2" t="s">
        <v>16</v>
      </c>
      <c r="D42" s="6" t="n">
        <v>3.45</v>
      </c>
      <c r="E42" s="6" t="s">
        <v>17</v>
      </c>
      <c r="F42" s="7" t="n">
        <v>6.45</v>
      </c>
      <c r="G42" s="17"/>
      <c r="H42" s="17"/>
      <c r="I42" s="9" t="n">
        <f aca="false">F42-D42</f>
        <v>3</v>
      </c>
      <c r="J42" s="17"/>
      <c r="K42" s="9" t="n">
        <f aca="false">(F42-D42)/(10-D42)</f>
        <v>0.458015267175573</v>
      </c>
      <c r="L42" s="17"/>
    </row>
    <row r="43" customFormat="false" ht="12.8" hidden="false" customHeight="true" outlineLevel="0" collapsed="false">
      <c r="A43" s="17"/>
      <c r="B43" s="2" t="s">
        <v>15</v>
      </c>
      <c r="C43" s="5" t="s">
        <v>18</v>
      </c>
      <c r="D43" s="6" t="n">
        <v>0.95</v>
      </c>
      <c r="E43" s="6" t="s">
        <v>19</v>
      </c>
      <c r="F43" s="7" t="n">
        <v>8.7</v>
      </c>
      <c r="G43" s="17"/>
      <c r="H43" s="17"/>
      <c r="I43" s="9" t="n">
        <f aca="false">F43-D43</f>
        <v>7.75</v>
      </c>
      <c r="J43" s="17"/>
      <c r="K43" s="9" t="n">
        <f aca="false">(F43-D43)/(10-D43)</f>
        <v>0.856353591160221</v>
      </c>
      <c r="L43" s="17"/>
    </row>
    <row r="44" customFormat="false" ht="12.8" hidden="false" customHeight="true" outlineLevel="0" collapsed="false">
      <c r="A44" s="17"/>
      <c r="B44" s="2" t="s">
        <v>15</v>
      </c>
      <c r="C44" s="2" t="s">
        <v>16</v>
      </c>
      <c r="D44" s="6" t="n">
        <v>3.45</v>
      </c>
      <c r="E44" s="6" t="s">
        <v>17</v>
      </c>
      <c r="F44" s="7" t="n">
        <v>6.45</v>
      </c>
      <c r="G44" s="17"/>
      <c r="H44" s="17"/>
      <c r="I44" s="9" t="n">
        <f aca="false">F44-D44</f>
        <v>3</v>
      </c>
      <c r="J44" s="17"/>
      <c r="K44" s="9" t="n">
        <f aca="false">(F44-D44)/(10-D44)</f>
        <v>0.458015267175573</v>
      </c>
      <c r="L44" s="17"/>
    </row>
    <row r="45" customFormat="false" ht="12.8" hidden="false" customHeight="true" outlineLevel="0" collapsed="false">
      <c r="A45" s="17"/>
      <c r="B45" s="2" t="s">
        <v>15</v>
      </c>
      <c r="C45" s="2" t="s">
        <v>16</v>
      </c>
      <c r="D45" s="6" t="n">
        <v>3.45</v>
      </c>
      <c r="E45" s="6" t="s">
        <v>17</v>
      </c>
      <c r="F45" s="7" t="n">
        <v>6.45</v>
      </c>
      <c r="G45" s="17"/>
      <c r="H45" s="17"/>
      <c r="I45" s="9" t="n">
        <f aca="false">F45-D45</f>
        <v>3</v>
      </c>
      <c r="J45" s="17"/>
      <c r="K45" s="9" t="n">
        <f aca="false">(F45-D45)/(10-D45)</f>
        <v>0.458015267175573</v>
      </c>
      <c r="L45" s="17"/>
    </row>
    <row r="46" customFormat="false" ht="12.8" hidden="false" customHeight="true" outlineLevel="0" collapsed="false">
      <c r="A46" s="17"/>
      <c r="B46" s="2" t="s">
        <v>15</v>
      </c>
      <c r="C46" s="5" t="s">
        <v>18</v>
      </c>
      <c r="D46" s="6" t="n">
        <v>0.95</v>
      </c>
      <c r="E46" s="6" t="s">
        <v>19</v>
      </c>
      <c r="F46" s="7" t="n">
        <v>8.7</v>
      </c>
      <c r="G46" s="17"/>
      <c r="H46" s="17"/>
      <c r="I46" s="9" t="n">
        <f aca="false">F46-D46</f>
        <v>7.75</v>
      </c>
      <c r="J46" s="17"/>
      <c r="K46" s="9" t="n">
        <f aca="false">(F46-D46)/(10-D46)</f>
        <v>0.856353591160221</v>
      </c>
      <c r="L46" s="17"/>
    </row>
    <row r="47" customFormat="false" ht="12.8" hidden="false" customHeight="true" outlineLevel="0" collapsed="false">
      <c r="A47" s="17"/>
      <c r="B47" s="2" t="s">
        <v>15</v>
      </c>
      <c r="C47" s="2" t="s">
        <v>18</v>
      </c>
      <c r="D47" s="6" t="n">
        <v>0.95</v>
      </c>
      <c r="E47" s="2" t="s">
        <v>16</v>
      </c>
      <c r="F47" s="18" t="n">
        <v>6.45</v>
      </c>
      <c r="G47" s="17"/>
      <c r="H47" s="17"/>
      <c r="I47" s="9" t="n">
        <f aca="false">F47-D47</f>
        <v>5.5</v>
      </c>
      <c r="J47" s="17"/>
      <c r="K47" s="9" t="n">
        <f aca="false">(F47-D47)/(10-D47)</f>
        <v>0.607734806629834</v>
      </c>
      <c r="L47" s="17"/>
    </row>
    <row r="48" customFormat="false" ht="12.8" hidden="false" customHeight="true" outlineLevel="0" collapsed="false">
      <c r="A48" s="17"/>
      <c r="B48" s="2" t="s">
        <v>15</v>
      </c>
      <c r="C48" s="2" t="s">
        <v>16</v>
      </c>
      <c r="D48" s="6" t="n">
        <v>3.45</v>
      </c>
      <c r="E48" s="6" t="s">
        <v>19</v>
      </c>
      <c r="F48" s="7" t="n">
        <v>8.7</v>
      </c>
      <c r="G48" s="17"/>
      <c r="H48" s="17"/>
      <c r="I48" s="9" t="n">
        <f aca="false">F48-D48</f>
        <v>5.25</v>
      </c>
      <c r="J48" s="17"/>
      <c r="K48" s="9" t="n">
        <f aca="false">(F48-D48)/(10-D48)</f>
        <v>0.801526717557252</v>
      </c>
      <c r="L48" s="17"/>
    </row>
    <row r="49" customFormat="false" ht="12.8" hidden="false" customHeight="true" outlineLevel="0" collapsed="false">
      <c r="A49" s="17"/>
      <c r="B49" s="2" t="s">
        <v>15</v>
      </c>
      <c r="C49" s="2" t="s">
        <v>16</v>
      </c>
      <c r="D49" s="6" t="n">
        <v>3.45</v>
      </c>
      <c r="E49" s="6" t="s">
        <v>19</v>
      </c>
      <c r="F49" s="7" t="n">
        <v>8.7</v>
      </c>
      <c r="G49" s="17"/>
      <c r="H49" s="17"/>
      <c r="I49" s="9" t="n">
        <f aca="false">F49-D49</f>
        <v>5.25</v>
      </c>
      <c r="J49" s="17"/>
      <c r="K49" s="9" t="n">
        <f aca="false">(F49-D49)/(10-D49)</f>
        <v>0.801526717557252</v>
      </c>
      <c r="L49" s="17"/>
    </row>
    <row r="50" customFormat="false" ht="12.8" hidden="false" customHeight="true" outlineLevel="0" collapsed="false">
      <c r="A50" s="17"/>
      <c r="B50" s="2" t="s">
        <v>15</v>
      </c>
      <c r="C50" s="5" t="s">
        <v>18</v>
      </c>
      <c r="D50" s="6" t="n">
        <v>0.95</v>
      </c>
      <c r="E50" s="6" t="s">
        <v>19</v>
      </c>
      <c r="F50" s="7" t="n">
        <v>8.7</v>
      </c>
      <c r="G50" s="17"/>
      <c r="H50" s="17"/>
      <c r="I50" s="9" t="n">
        <f aca="false">F50-D50</f>
        <v>7.75</v>
      </c>
      <c r="J50" s="17"/>
      <c r="K50" s="9" t="n">
        <f aca="false">(F50-D50)/(10-D50)</f>
        <v>0.856353591160221</v>
      </c>
      <c r="L50" s="17"/>
    </row>
    <row r="51" customFormat="false" ht="12.8" hidden="false" customHeight="true" outlineLevel="0" collapsed="false">
      <c r="A51" s="17"/>
      <c r="B51" s="2" t="s">
        <v>15</v>
      </c>
      <c r="C51" s="5" t="s">
        <v>18</v>
      </c>
      <c r="D51" s="6" t="n">
        <v>0.95</v>
      </c>
      <c r="E51" s="6" t="s">
        <v>17</v>
      </c>
      <c r="F51" s="7" t="n">
        <v>6.45</v>
      </c>
      <c r="G51" s="17"/>
      <c r="H51" s="17"/>
      <c r="I51" s="9" t="n">
        <f aca="false">F51-D51</f>
        <v>5.5</v>
      </c>
      <c r="J51" s="17"/>
      <c r="K51" s="9" t="n">
        <f aca="false">(F51-D51)/(10-D51)</f>
        <v>0.607734806629834</v>
      </c>
      <c r="L51" s="17"/>
    </row>
    <row r="52" customFormat="false" ht="12.8" hidden="false" customHeight="true" outlineLevel="0" collapsed="false">
      <c r="A52" s="17"/>
      <c r="B52" s="2" t="s">
        <v>15</v>
      </c>
      <c r="C52" s="2" t="s">
        <v>16</v>
      </c>
      <c r="D52" s="6" t="n">
        <v>3.45</v>
      </c>
      <c r="E52" s="6" t="s">
        <v>19</v>
      </c>
      <c r="F52" s="7" t="n">
        <v>8.7</v>
      </c>
      <c r="G52" s="17"/>
      <c r="H52" s="17"/>
      <c r="I52" s="9" t="n">
        <f aca="false">F52-D52</f>
        <v>5.25</v>
      </c>
      <c r="J52" s="17"/>
      <c r="K52" s="9" t="n">
        <f aca="false">(F52-D52)/(10-D52)</f>
        <v>0.801526717557252</v>
      </c>
      <c r="L52" s="17"/>
    </row>
    <row r="53" customFormat="false" ht="12.8" hidden="false" customHeight="true" outlineLevel="0" collapsed="false">
      <c r="A53" s="17"/>
      <c r="B53" s="2" t="s">
        <v>15</v>
      </c>
      <c r="C53" s="5" t="s">
        <v>17</v>
      </c>
      <c r="D53" s="6" t="n">
        <v>6.45</v>
      </c>
      <c r="E53" s="6" t="s">
        <v>19</v>
      </c>
      <c r="F53" s="7" t="n">
        <v>8.7</v>
      </c>
      <c r="G53" s="17"/>
      <c r="H53" s="17"/>
      <c r="I53" s="9" t="n">
        <f aca="false">F53-D53</f>
        <v>2.25</v>
      </c>
      <c r="J53" s="17"/>
      <c r="K53" s="9" t="n">
        <f aca="false">(F53-D53)/(10-D53)</f>
        <v>0.633802816901408</v>
      </c>
      <c r="L53" s="17"/>
    </row>
    <row r="54" customFormat="false" ht="12.8" hidden="false" customHeight="true" outlineLevel="0" collapsed="false">
      <c r="A54" s="17"/>
      <c r="B54" s="2" t="s">
        <v>15</v>
      </c>
      <c r="C54" s="5" t="s">
        <v>17</v>
      </c>
      <c r="D54" s="6" t="n">
        <v>6.45</v>
      </c>
      <c r="E54" s="6" t="s">
        <v>19</v>
      </c>
      <c r="F54" s="7" t="n">
        <v>8.7</v>
      </c>
      <c r="G54" s="17"/>
      <c r="H54" s="17"/>
      <c r="I54" s="9" t="n">
        <f aca="false">F54-D54</f>
        <v>2.25</v>
      </c>
      <c r="J54" s="17"/>
      <c r="K54" s="9" t="n">
        <f aca="false">(F54-D54)/(10-D54)</f>
        <v>0.633802816901408</v>
      </c>
      <c r="L54" s="17"/>
    </row>
    <row r="55" customFormat="false" ht="12.8" hidden="false" customHeight="true" outlineLevel="0" collapsed="false">
      <c r="A55" s="17"/>
      <c r="B55" s="2" t="s">
        <v>15</v>
      </c>
      <c r="C55" s="2" t="s">
        <v>16</v>
      </c>
      <c r="D55" s="6" t="n">
        <v>3.45</v>
      </c>
      <c r="E55" s="6" t="s">
        <v>19</v>
      </c>
      <c r="F55" s="7" t="n">
        <v>8.7</v>
      </c>
      <c r="G55" s="17"/>
      <c r="H55" s="17"/>
      <c r="I55" s="9" t="n">
        <f aca="false">F55-D55</f>
        <v>5.25</v>
      </c>
      <c r="J55" s="17"/>
      <c r="K55" s="9" t="n">
        <f aca="false">(F55-D55)/(10-D55)</f>
        <v>0.801526717557252</v>
      </c>
      <c r="L55" s="17"/>
    </row>
    <row r="56" customFormat="false" ht="12.8" hidden="false" customHeight="true" outlineLevel="0" collapsed="false">
      <c r="A56" s="17"/>
      <c r="B56" s="2" t="s">
        <v>15</v>
      </c>
      <c r="C56" s="5" t="s">
        <v>18</v>
      </c>
      <c r="D56" s="6" t="n">
        <v>0.95</v>
      </c>
      <c r="E56" s="2" t="s">
        <v>17</v>
      </c>
      <c r="F56" s="18" t="n">
        <v>6.45</v>
      </c>
      <c r="G56" s="17"/>
      <c r="H56" s="17"/>
      <c r="I56" s="9" t="n">
        <f aca="false">F56-D56</f>
        <v>5.5</v>
      </c>
      <c r="J56" s="17"/>
      <c r="K56" s="9" t="n">
        <f aca="false">(F56-D56)/(10-D56)</f>
        <v>0.607734806629834</v>
      </c>
      <c r="L56" s="17"/>
    </row>
    <row r="57" customFormat="false" ht="12.8" hidden="false" customHeight="true" outlineLevel="0" collapsed="false">
      <c r="A57" s="17"/>
      <c r="B57" s="2" t="s">
        <v>15</v>
      </c>
      <c r="C57" s="5" t="s">
        <v>18</v>
      </c>
      <c r="D57" s="6" t="n">
        <v>0.95</v>
      </c>
      <c r="E57" s="2" t="s">
        <v>17</v>
      </c>
      <c r="F57" s="18" t="n">
        <v>6.45</v>
      </c>
      <c r="G57" s="17"/>
      <c r="H57" s="17"/>
      <c r="I57" s="9" t="n">
        <f aca="false">F57-D57</f>
        <v>5.5</v>
      </c>
      <c r="J57" s="17"/>
      <c r="K57" s="9" t="n">
        <f aca="false">(F57-D57)/(10-D57)</f>
        <v>0.607734806629834</v>
      </c>
      <c r="L57" s="17"/>
    </row>
    <row r="58" customFormat="false" ht="12.8" hidden="false" customHeight="true" outlineLevel="0" collapsed="false">
      <c r="A58" s="17"/>
      <c r="B58" s="2" t="s">
        <v>15</v>
      </c>
      <c r="C58" s="5" t="s">
        <v>18</v>
      </c>
      <c r="D58" s="6" t="n">
        <v>0.95</v>
      </c>
      <c r="E58" s="6" t="s">
        <v>19</v>
      </c>
      <c r="F58" s="7" t="n">
        <v>8.7</v>
      </c>
      <c r="G58" s="17"/>
      <c r="H58" s="17"/>
      <c r="I58" s="9" t="n">
        <f aca="false">F58-D58</f>
        <v>7.75</v>
      </c>
      <c r="J58" s="17"/>
      <c r="K58" s="9" t="n">
        <f aca="false">(F58-D58)/(10-D58)</f>
        <v>0.856353591160221</v>
      </c>
      <c r="L58" s="17"/>
    </row>
    <row r="59" customFormat="false" ht="12.8" hidden="false" customHeight="true" outlineLevel="0" collapsed="false">
      <c r="A59" s="17"/>
      <c r="B59" s="2" t="s">
        <v>15</v>
      </c>
      <c r="C59" s="2" t="s">
        <v>16</v>
      </c>
      <c r="D59" s="6" t="n">
        <v>3.45</v>
      </c>
      <c r="E59" s="2" t="s">
        <v>17</v>
      </c>
      <c r="F59" s="18" t="n">
        <v>6.45</v>
      </c>
      <c r="G59" s="17"/>
      <c r="H59" s="17"/>
      <c r="I59" s="9" t="n">
        <f aca="false">F59-D59</f>
        <v>3</v>
      </c>
      <c r="J59" s="17"/>
      <c r="K59" s="9" t="n">
        <f aca="false">(F59-D59)/(10-D59)</f>
        <v>0.458015267175573</v>
      </c>
      <c r="L59" s="17"/>
    </row>
    <row r="60" customFormat="false" ht="12.8" hidden="false" customHeight="true" outlineLevel="0" collapsed="false">
      <c r="A60" s="17"/>
      <c r="B60" s="2" t="s">
        <v>15</v>
      </c>
      <c r="C60" s="5" t="s">
        <v>18</v>
      </c>
      <c r="D60" s="6" t="n">
        <v>0.95</v>
      </c>
      <c r="E60" s="6" t="s">
        <v>19</v>
      </c>
      <c r="F60" s="7" t="n">
        <v>8.7</v>
      </c>
      <c r="G60" s="17"/>
      <c r="H60" s="17"/>
      <c r="I60" s="9" t="n">
        <f aca="false">F60-D60</f>
        <v>7.75</v>
      </c>
      <c r="J60" s="17"/>
      <c r="K60" s="9" t="n">
        <f aca="false">(F60-D60)/(10-D60)</f>
        <v>0.856353591160221</v>
      </c>
      <c r="L60" s="17"/>
    </row>
    <row r="61" customFormat="false" ht="12.8" hidden="false" customHeight="true" outlineLevel="0" collapsed="false">
      <c r="A61" s="17"/>
      <c r="B61" s="2" t="s">
        <v>15</v>
      </c>
      <c r="C61" s="2" t="s">
        <v>18</v>
      </c>
      <c r="D61" s="6" t="n">
        <v>0.95</v>
      </c>
      <c r="E61" s="2" t="s">
        <v>16</v>
      </c>
      <c r="F61" s="18" t="n">
        <v>3.45</v>
      </c>
      <c r="G61" s="17"/>
      <c r="H61" s="17"/>
      <c r="I61" s="9" t="n">
        <f aca="false">F61-D61</f>
        <v>2.5</v>
      </c>
      <c r="J61" s="17"/>
      <c r="K61" s="9" t="n">
        <f aca="false">(F61-D61)/(10-D61)</f>
        <v>0.276243093922652</v>
      </c>
      <c r="L61" s="17"/>
    </row>
    <row r="62" customFormat="false" ht="12.8" hidden="false" customHeight="true" outlineLevel="0" collapsed="false">
      <c r="A62" s="17"/>
      <c r="B62" s="2" t="s">
        <v>15</v>
      </c>
      <c r="C62" s="5" t="s">
        <v>18</v>
      </c>
      <c r="D62" s="6" t="n">
        <v>0.95</v>
      </c>
      <c r="E62" s="6" t="s">
        <v>19</v>
      </c>
      <c r="F62" s="7" t="n">
        <v>8.7</v>
      </c>
      <c r="G62" s="17"/>
      <c r="H62" s="17"/>
      <c r="I62" s="9" t="n">
        <f aca="false">F62-D62</f>
        <v>7.75</v>
      </c>
      <c r="J62" s="17"/>
      <c r="K62" s="9" t="n">
        <f aca="false">(F62-D62)/(10-D62)</f>
        <v>0.856353591160221</v>
      </c>
      <c r="L62" s="17"/>
    </row>
    <row r="63" customFormat="false" ht="12.8" hidden="false" customHeight="true" outlineLevel="0" collapsed="false">
      <c r="A63" s="17"/>
      <c r="B63" s="2" t="s">
        <v>15</v>
      </c>
      <c r="C63" s="5" t="s">
        <v>18</v>
      </c>
      <c r="D63" s="6" t="n">
        <v>0.95</v>
      </c>
      <c r="E63" s="6" t="s">
        <v>19</v>
      </c>
      <c r="F63" s="7" t="n">
        <v>8.7</v>
      </c>
      <c r="G63" s="17"/>
      <c r="H63" s="17"/>
      <c r="I63" s="9" t="n">
        <f aca="false">F63-D63</f>
        <v>7.75</v>
      </c>
      <c r="J63" s="17"/>
      <c r="K63" s="9" t="n">
        <f aca="false">(F63-D63)/(10-D63)</f>
        <v>0.856353591160221</v>
      </c>
      <c r="L63" s="17"/>
    </row>
    <row r="64" customFormat="false" ht="12.8" hidden="false" customHeight="true" outlineLevel="0" collapsed="false">
      <c r="A64" s="17"/>
      <c r="B64" s="2" t="s">
        <v>15</v>
      </c>
      <c r="C64" s="5" t="s">
        <v>17</v>
      </c>
      <c r="D64" s="6" t="n">
        <v>6.45</v>
      </c>
      <c r="E64" s="6" t="s">
        <v>19</v>
      </c>
      <c r="F64" s="7" t="n">
        <v>8.7</v>
      </c>
      <c r="G64" s="17"/>
      <c r="H64" s="17"/>
      <c r="I64" s="9" t="n">
        <f aca="false">F64-D64</f>
        <v>2.25</v>
      </c>
      <c r="J64" s="17"/>
      <c r="K64" s="9" t="n">
        <f aca="false">(F64-D64)/(10-D64)</f>
        <v>0.633802816901408</v>
      </c>
      <c r="L64" s="17"/>
    </row>
    <row r="65" customFormat="false" ht="12.8" hidden="false" customHeight="true" outlineLevel="0" collapsed="false">
      <c r="A65" s="17"/>
      <c r="B65" s="2" t="s">
        <v>15</v>
      </c>
      <c r="C65" s="5" t="s">
        <v>17</v>
      </c>
      <c r="D65" s="6" t="n">
        <v>6.45</v>
      </c>
      <c r="E65" s="6" t="s">
        <v>19</v>
      </c>
      <c r="F65" s="7" t="n">
        <v>8.7</v>
      </c>
      <c r="G65" s="17"/>
      <c r="H65" s="17"/>
      <c r="I65" s="9" t="n">
        <f aca="false">F65-D65</f>
        <v>2.25</v>
      </c>
      <c r="J65" s="17"/>
      <c r="K65" s="9" t="n">
        <f aca="false">(F65-D65)/(10-D65)</f>
        <v>0.633802816901408</v>
      </c>
      <c r="L65" s="17"/>
    </row>
    <row r="66" customFormat="false" ht="12.8" hidden="false" customHeight="true" outlineLevel="0" collapsed="false">
      <c r="A66" s="17"/>
      <c r="B66" s="2" t="s">
        <v>15</v>
      </c>
      <c r="C66" s="5" t="s">
        <v>18</v>
      </c>
      <c r="D66" s="6" t="n">
        <v>0.95</v>
      </c>
      <c r="E66" s="6" t="s">
        <v>19</v>
      </c>
      <c r="F66" s="7" t="n">
        <v>8.7</v>
      </c>
      <c r="G66" s="17"/>
      <c r="H66" s="17"/>
      <c r="I66" s="9" t="n">
        <f aca="false">F66-D66</f>
        <v>7.75</v>
      </c>
      <c r="J66" s="17"/>
      <c r="K66" s="9" t="n">
        <f aca="false">(F66-D66)/(10-D66)</f>
        <v>0.856353591160221</v>
      </c>
      <c r="L66" s="17"/>
    </row>
    <row r="67" customFormat="false" ht="12.8" hidden="false" customHeight="true" outlineLevel="0" collapsed="false">
      <c r="A67" s="17"/>
      <c r="B67" s="2" t="s">
        <v>15</v>
      </c>
      <c r="C67" s="5" t="s">
        <v>17</v>
      </c>
      <c r="D67" s="6" t="n">
        <v>6.45</v>
      </c>
      <c r="E67" s="6" t="s">
        <v>19</v>
      </c>
      <c r="F67" s="7" t="n">
        <v>8.7</v>
      </c>
      <c r="G67" s="17"/>
      <c r="H67" s="17"/>
      <c r="I67" s="9" t="n">
        <f aca="false">F67-D67</f>
        <v>2.25</v>
      </c>
      <c r="J67" s="17"/>
      <c r="K67" s="9" t="n">
        <f aca="false">(F67-D67)/(10-D67)</f>
        <v>0.633802816901408</v>
      </c>
      <c r="L67" s="17"/>
    </row>
    <row r="68" customFormat="false" ht="12.8" hidden="false" customHeight="true" outlineLevel="0" collapsed="false">
      <c r="A68" s="17"/>
      <c r="B68" s="2" t="s">
        <v>20</v>
      </c>
      <c r="C68" s="2" t="s">
        <v>16</v>
      </c>
      <c r="D68" s="2" t="n">
        <v>3.45</v>
      </c>
      <c r="E68" s="2" t="s">
        <v>19</v>
      </c>
      <c r="F68" s="19" t="n">
        <v>8.7</v>
      </c>
      <c r="G68" s="17"/>
      <c r="H68" s="17"/>
      <c r="I68" s="17"/>
      <c r="J68" s="10" t="n">
        <f aca="false">F68-D68</f>
        <v>5.25</v>
      </c>
      <c r="K68" s="17"/>
      <c r="L68" s="10" t="n">
        <f aca="false">(F68-D68)/(10-D68)</f>
        <v>0.801526717557252</v>
      </c>
    </row>
    <row r="69" customFormat="false" ht="12.8" hidden="false" customHeight="true" outlineLevel="0" collapsed="false">
      <c r="A69" s="17"/>
      <c r="B69" s="2" t="s">
        <v>20</v>
      </c>
      <c r="C69" s="2" t="s">
        <v>16</v>
      </c>
      <c r="D69" s="2" t="n">
        <v>3.45</v>
      </c>
      <c r="E69" s="2" t="s">
        <v>19</v>
      </c>
      <c r="F69" s="19" t="n">
        <v>8.7</v>
      </c>
      <c r="G69" s="17"/>
      <c r="H69" s="17"/>
      <c r="I69" s="17"/>
      <c r="J69" s="10" t="n">
        <f aca="false">F69-D69</f>
        <v>5.25</v>
      </c>
      <c r="K69" s="17"/>
      <c r="L69" s="10" t="n">
        <f aca="false">(F69-D69)/(10-D69)</f>
        <v>0.801526717557252</v>
      </c>
    </row>
    <row r="70" customFormat="false" ht="12.8" hidden="false" customHeight="true" outlineLevel="0" collapsed="false">
      <c r="A70" s="17"/>
      <c r="B70" s="2" t="s">
        <v>20</v>
      </c>
      <c r="C70" s="5" t="s">
        <v>18</v>
      </c>
      <c r="D70" s="6" t="n">
        <v>0.95</v>
      </c>
      <c r="E70" s="6" t="s">
        <v>17</v>
      </c>
      <c r="F70" s="7" t="n">
        <v>6.45</v>
      </c>
      <c r="G70" s="17"/>
      <c r="H70" s="17"/>
      <c r="I70" s="17"/>
      <c r="J70" s="10" t="n">
        <f aca="false">F70-D70</f>
        <v>5.5</v>
      </c>
      <c r="K70" s="17"/>
      <c r="L70" s="10" t="n">
        <f aca="false">(F70-D70)/(10-D70)</f>
        <v>0.607734806629834</v>
      </c>
    </row>
    <row r="71" customFormat="false" ht="12.8" hidden="false" customHeight="true" outlineLevel="0" collapsed="false">
      <c r="A71" s="17"/>
      <c r="B71" s="2" t="s">
        <v>20</v>
      </c>
      <c r="C71" s="5" t="s">
        <v>18</v>
      </c>
      <c r="D71" s="6" t="n">
        <v>0.95</v>
      </c>
      <c r="E71" s="6" t="s">
        <v>17</v>
      </c>
      <c r="F71" s="7" t="n">
        <v>6.45</v>
      </c>
      <c r="G71" s="17"/>
      <c r="H71" s="17"/>
      <c r="I71" s="17"/>
      <c r="J71" s="10" t="n">
        <f aca="false">F71-D71</f>
        <v>5.5</v>
      </c>
      <c r="K71" s="17"/>
      <c r="L71" s="10" t="n">
        <f aca="false">(F71-D71)/(10-D71)</f>
        <v>0.607734806629834</v>
      </c>
    </row>
    <row r="72" customFormat="false" ht="12.8" hidden="false" customHeight="true" outlineLevel="0" collapsed="false">
      <c r="A72" s="17"/>
      <c r="B72" s="2" t="s">
        <v>20</v>
      </c>
      <c r="C72" s="2" t="s">
        <v>16</v>
      </c>
      <c r="D72" s="2" t="n">
        <v>3.45</v>
      </c>
      <c r="E72" s="2" t="s">
        <v>19</v>
      </c>
      <c r="F72" s="19" t="n">
        <v>8.7</v>
      </c>
      <c r="G72" s="17"/>
      <c r="H72" s="17"/>
      <c r="I72" s="17"/>
      <c r="J72" s="10" t="n">
        <f aca="false">F72-D72</f>
        <v>5.25</v>
      </c>
      <c r="K72" s="17"/>
      <c r="L72" s="10" t="n">
        <f aca="false">(F72-D72)/(10-D72)</f>
        <v>0.801526717557252</v>
      </c>
    </row>
    <row r="73" customFormat="false" ht="12.8" hidden="false" customHeight="true" outlineLevel="0" collapsed="false">
      <c r="A73" s="17"/>
      <c r="B73" s="2" t="s">
        <v>20</v>
      </c>
      <c r="C73" s="2" t="s">
        <v>18</v>
      </c>
      <c r="D73" s="2" t="n">
        <v>0.95</v>
      </c>
      <c r="E73" s="2" t="s">
        <v>19</v>
      </c>
      <c r="F73" s="19" t="n">
        <v>8.7</v>
      </c>
      <c r="G73" s="17"/>
      <c r="H73" s="17"/>
      <c r="I73" s="17"/>
      <c r="J73" s="10" t="n">
        <f aca="false">F73-D73</f>
        <v>7.75</v>
      </c>
      <c r="K73" s="17"/>
      <c r="L73" s="10" t="n">
        <f aca="false">(F73-D73)/(10-D73)</f>
        <v>0.856353591160221</v>
      </c>
    </row>
    <row r="74" customFormat="false" ht="12.8" hidden="false" customHeight="true" outlineLevel="0" collapsed="false">
      <c r="A74" s="17"/>
      <c r="B74" s="2" t="s">
        <v>20</v>
      </c>
      <c r="C74" s="2" t="s">
        <v>18</v>
      </c>
      <c r="D74" s="20" t="n">
        <v>0.95</v>
      </c>
      <c r="E74" s="20" t="s">
        <v>16</v>
      </c>
      <c r="F74" s="20" t="n">
        <v>3.45</v>
      </c>
      <c r="G74" s="17"/>
      <c r="H74" s="17"/>
      <c r="I74" s="17"/>
      <c r="J74" s="10" t="n">
        <f aca="false">F74-D74</f>
        <v>2.5</v>
      </c>
      <c r="K74" s="17"/>
      <c r="L74" s="10" t="n">
        <f aca="false">(F74-D74)/(10-D74)</f>
        <v>0.276243093922652</v>
      </c>
    </row>
    <row r="75" customFormat="false" ht="12.8" hidden="false" customHeight="true" outlineLevel="0" collapsed="false">
      <c r="A75" s="17"/>
      <c r="B75" s="2" t="s">
        <v>20</v>
      </c>
      <c r="C75" s="5" t="s">
        <v>18</v>
      </c>
      <c r="D75" s="9" t="n">
        <v>0.95</v>
      </c>
      <c r="E75" s="9" t="s">
        <v>17</v>
      </c>
      <c r="F75" s="9" t="n">
        <v>6.45</v>
      </c>
      <c r="G75" s="17"/>
      <c r="H75" s="17"/>
      <c r="I75" s="17"/>
      <c r="J75" s="10" t="n">
        <f aca="false">F75-D75</f>
        <v>5.5</v>
      </c>
      <c r="K75" s="17"/>
      <c r="L75" s="10" t="n">
        <f aca="false">(F75-D75)/(10-D75)</f>
        <v>0.607734806629834</v>
      </c>
    </row>
    <row r="76" customFormat="false" ht="12.8" hidden="false" customHeight="true" outlineLevel="0" collapsed="false">
      <c r="A76" s="17"/>
      <c r="B76" s="2" t="s">
        <v>20</v>
      </c>
      <c r="C76" s="2" t="s">
        <v>17</v>
      </c>
      <c r="D76" s="20" t="n">
        <v>6.45</v>
      </c>
      <c r="E76" s="20" t="s">
        <v>19</v>
      </c>
      <c r="F76" s="20" t="n">
        <v>8.7</v>
      </c>
      <c r="G76" s="17"/>
      <c r="H76" s="17"/>
      <c r="I76" s="17"/>
      <c r="J76" s="10" t="n">
        <f aca="false">F76-D76</f>
        <v>2.25</v>
      </c>
      <c r="K76" s="17"/>
      <c r="L76" s="10" t="n">
        <f aca="false">(F76-D76)/(10-D76)</f>
        <v>0.633802816901408</v>
      </c>
    </row>
    <row r="77" customFormat="false" ht="12.8" hidden="false" customHeight="true" outlineLevel="0" collapsed="false">
      <c r="A77" s="17"/>
      <c r="B77" s="2" t="s">
        <v>20</v>
      </c>
      <c r="C77" s="2" t="s">
        <v>16</v>
      </c>
      <c r="D77" s="20" t="n">
        <v>3.45</v>
      </c>
      <c r="E77" s="20" t="s">
        <v>19</v>
      </c>
      <c r="F77" s="20" t="n">
        <v>8.7</v>
      </c>
      <c r="G77" s="17"/>
      <c r="H77" s="17"/>
      <c r="I77" s="17"/>
      <c r="J77" s="10" t="n">
        <f aca="false">F77-D77</f>
        <v>5.25</v>
      </c>
      <c r="K77" s="17"/>
      <c r="L77" s="10" t="n">
        <f aca="false">(F77-D77)/(10-D77)</f>
        <v>0.801526717557252</v>
      </c>
    </row>
    <row r="78" customFormat="false" ht="12.8" hidden="false" customHeight="true" outlineLevel="0" collapsed="false">
      <c r="A78" s="17"/>
      <c r="B78" s="2" t="s">
        <v>20</v>
      </c>
      <c r="C78" s="5" t="s">
        <v>18</v>
      </c>
      <c r="D78" s="9" t="n">
        <v>0.95</v>
      </c>
      <c r="E78" s="9" t="s">
        <v>17</v>
      </c>
      <c r="F78" s="9" t="n">
        <v>6.45</v>
      </c>
      <c r="G78" s="17"/>
      <c r="H78" s="17"/>
      <c r="I78" s="17"/>
      <c r="J78" s="10" t="n">
        <f aca="false">F78-D78</f>
        <v>5.5</v>
      </c>
      <c r="K78" s="17"/>
      <c r="L78" s="10" t="n">
        <f aca="false">(F78-D78)/(10-D78)</f>
        <v>0.607734806629834</v>
      </c>
    </row>
    <row r="79" customFormat="false" ht="12.8" hidden="false" customHeight="true" outlineLevel="0" collapsed="false">
      <c r="A79" s="17"/>
      <c r="B79" s="2" t="s">
        <v>20</v>
      </c>
      <c r="C79" s="5" t="s">
        <v>18</v>
      </c>
      <c r="D79" s="9" t="n">
        <v>0.95</v>
      </c>
      <c r="E79" s="9" t="s">
        <v>17</v>
      </c>
      <c r="F79" s="9" t="n">
        <v>6.45</v>
      </c>
      <c r="G79" s="17"/>
      <c r="H79" s="17"/>
      <c r="I79" s="17"/>
      <c r="J79" s="10" t="n">
        <f aca="false">F79-D79</f>
        <v>5.5</v>
      </c>
      <c r="K79" s="17"/>
      <c r="L79" s="10" t="n">
        <f aca="false">(F79-D79)/(10-D79)</f>
        <v>0.607734806629834</v>
      </c>
    </row>
    <row r="80" customFormat="false" ht="12.8" hidden="false" customHeight="true" outlineLevel="0" collapsed="false">
      <c r="A80" s="17"/>
      <c r="B80" s="2" t="s">
        <v>20</v>
      </c>
      <c r="C80" s="2" t="s">
        <v>16</v>
      </c>
      <c r="D80" s="20" t="n">
        <v>3.45</v>
      </c>
      <c r="E80" s="20" t="s">
        <v>19</v>
      </c>
      <c r="F80" s="20" t="n">
        <v>8.7</v>
      </c>
      <c r="G80" s="17"/>
      <c r="H80" s="17"/>
      <c r="I80" s="17"/>
      <c r="J80" s="10" t="n">
        <f aca="false">F80-D80</f>
        <v>5.25</v>
      </c>
      <c r="K80" s="17"/>
      <c r="L80" s="10" t="n">
        <f aca="false">(F80-D80)/(10-D80)</f>
        <v>0.801526717557252</v>
      </c>
    </row>
    <row r="81" customFormat="false" ht="12.8" hidden="false" customHeight="true" outlineLevel="0" collapsed="false">
      <c r="A81" s="17"/>
      <c r="B81" s="2" t="s">
        <v>20</v>
      </c>
      <c r="C81" s="2" t="s">
        <v>16</v>
      </c>
      <c r="D81" s="20" t="n">
        <v>3.45</v>
      </c>
      <c r="E81" s="20" t="s">
        <v>16</v>
      </c>
      <c r="F81" s="20" t="n">
        <v>3.45</v>
      </c>
      <c r="G81" s="17"/>
      <c r="H81" s="17"/>
      <c r="I81" s="17"/>
      <c r="J81" s="10" t="n">
        <f aca="false">F81-D81</f>
        <v>0</v>
      </c>
      <c r="K81" s="17"/>
      <c r="L81" s="10" t="n">
        <f aca="false">(F81-D81)/(10-D81)</f>
        <v>0</v>
      </c>
    </row>
    <row r="82" customFormat="false" ht="12.8" hidden="false" customHeight="true" outlineLevel="0" collapsed="false">
      <c r="A82" s="17"/>
      <c r="B82" s="2" t="s">
        <v>20</v>
      </c>
      <c r="C82" s="2" t="s">
        <v>16</v>
      </c>
      <c r="D82" s="20" t="n">
        <v>3.45</v>
      </c>
      <c r="E82" s="20" t="s">
        <v>19</v>
      </c>
      <c r="F82" s="20" t="n">
        <v>8.7</v>
      </c>
      <c r="G82" s="17"/>
      <c r="H82" s="17"/>
      <c r="I82" s="17"/>
      <c r="J82" s="10" t="n">
        <f aca="false">F82-D82</f>
        <v>5.25</v>
      </c>
      <c r="K82" s="17"/>
      <c r="L82" s="10" t="n">
        <f aca="false">(F82-D82)/(10-D82)</f>
        <v>0.801526717557252</v>
      </c>
    </row>
    <row r="83" customFormat="false" ht="12.8" hidden="false" customHeight="true" outlineLevel="0" collapsed="false">
      <c r="A83" s="17"/>
      <c r="B83" s="2" t="s">
        <v>20</v>
      </c>
      <c r="C83" s="2" t="s">
        <v>18</v>
      </c>
      <c r="D83" s="20" t="n">
        <v>0.95</v>
      </c>
      <c r="E83" s="20" t="s">
        <v>16</v>
      </c>
      <c r="F83" s="20" t="n">
        <v>3.45</v>
      </c>
      <c r="G83" s="17"/>
      <c r="H83" s="17"/>
      <c r="I83" s="17"/>
      <c r="J83" s="10" t="n">
        <f aca="false">F83-D83</f>
        <v>2.5</v>
      </c>
      <c r="K83" s="17"/>
      <c r="L83" s="10" t="n">
        <f aca="false">(F83-D83)/(10-D83)</f>
        <v>0.276243093922652</v>
      </c>
    </row>
    <row r="84" customFormat="false" ht="12.8" hidden="false" customHeight="true" outlineLevel="0" collapsed="false">
      <c r="A84" s="17"/>
      <c r="B84" s="2" t="s">
        <v>20</v>
      </c>
      <c r="C84" s="2" t="s">
        <v>16</v>
      </c>
      <c r="D84" s="20" t="n">
        <v>3.45</v>
      </c>
      <c r="E84" s="20" t="s">
        <v>19</v>
      </c>
      <c r="F84" s="20" t="n">
        <v>8.7</v>
      </c>
      <c r="G84" s="17"/>
      <c r="H84" s="17"/>
      <c r="I84" s="17"/>
      <c r="J84" s="10" t="n">
        <f aca="false">F84-D84</f>
        <v>5.25</v>
      </c>
      <c r="K84" s="17"/>
      <c r="L84" s="10" t="n">
        <f aca="false">(F84-D84)/(10-D84)</f>
        <v>0.801526717557252</v>
      </c>
    </row>
    <row r="85" customFormat="false" ht="12.8" hidden="false" customHeight="true" outlineLevel="0" collapsed="false">
      <c r="A85" s="17"/>
      <c r="B85" s="2" t="s">
        <v>20</v>
      </c>
      <c r="C85" s="5" t="s">
        <v>18</v>
      </c>
      <c r="D85" s="9" t="n">
        <v>0.95</v>
      </c>
      <c r="E85" s="9" t="s">
        <v>17</v>
      </c>
      <c r="F85" s="9" t="n">
        <v>6.45</v>
      </c>
      <c r="G85" s="17"/>
      <c r="H85" s="17"/>
      <c r="I85" s="17"/>
      <c r="J85" s="10" t="n">
        <f aca="false">F85-D85</f>
        <v>5.5</v>
      </c>
      <c r="K85" s="17"/>
      <c r="L85" s="10" t="n">
        <f aca="false">(F85-D85)/(10-D85)</f>
        <v>0.607734806629834</v>
      </c>
    </row>
    <row r="86" customFormat="false" ht="12.8" hidden="false" customHeight="true" outlineLevel="0" collapsed="false">
      <c r="A86" s="17"/>
      <c r="B86" s="2" t="s">
        <v>20</v>
      </c>
      <c r="C86" s="2" t="s">
        <v>16</v>
      </c>
      <c r="D86" s="20" t="n">
        <v>3.45</v>
      </c>
      <c r="E86" s="20" t="s">
        <v>16</v>
      </c>
      <c r="F86" s="20" t="n">
        <v>3.45</v>
      </c>
      <c r="G86" s="17"/>
      <c r="H86" s="17"/>
      <c r="I86" s="17"/>
      <c r="J86" s="10" t="n">
        <f aca="false">F86-D86</f>
        <v>0</v>
      </c>
      <c r="K86" s="17"/>
      <c r="L86" s="10" t="n">
        <f aca="false">(F86-D86)/(10-D86)</f>
        <v>0</v>
      </c>
    </row>
    <row r="87" customFormat="false" ht="12.8" hidden="false" customHeight="true" outlineLevel="0" collapsed="false">
      <c r="A87" s="17"/>
      <c r="B87" s="2" t="s">
        <v>20</v>
      </c>
      <c r="C87" s="5" t="s">
        <v>18</v>
      </c>
      <c r="D87" s="9" t="n">
        <v>0.95</v>
      </c>
      <c r="E87" s="16" t="s">
        <v>18</v>
      </c>
      <c r="F87" s="9" t="n">
        <v>0.95</v>
      </c>
      <c r="G87" s="17"/>
      <c r="H87" s="17"/>
      <c r="I87" s="17"/>
      <c r="J87" s="10" t="n">
        <f aca="false">F87-D87</f>
        <v>0</v>
      </c>
      <c r="K87" s="17"/>
      <c r="L87" s="10" t="n">
        <f aca="false">(F87-D87)/(10-D87)</f>
        <v>0</v>
      </c>
    </row>
    <row r="88" customFormat="false" ht="12.8" hidden="false" customHeight="true" outlineLevel="0" collapsed="false">
      <c r="A88" s="17"/>
      <c r="B88" s="2" t="s">
        <v>20</v>
      </c>
      <c r="C88" s="2" t="s">
        <v>16</v>
      </c>
      <c r="D88" s="20" t="n">
        <v>3.45</v>
      </c>
      <c r="E88" s="20" t="s">
        <v>19</v>
      </c>
      <c r="F88" s="20" t="n">
        <v>8.7</v>
      </c>
      <c r="G88" s="17"/>
      <c r="H88" s="17"/>
      <c r="I88" s="17"/>
      <c r="J88" s="10" t="n">
        <f aca="false">F88-D88</f>
        <v>5.25</v>
      </c>
      <c r="K88" s="17"/>
      <c r="L88" s="10" t="n">
        <f aca="false">(F88-D88)/(10-D88)</f>
        <v>0.801526717557252</v>
      </c>
    </row>
    <row r="89" customFormat="false" ht="12.8" hidden="false" customHeight="true" outlineLevel="0" collapsed="false">
      <c r="A89" s="17"/>
      <c r="B89" s="2" t="s">
        <v>20</v>
      </c>
      <c r="C89" s="2" t="s">
        <v>17</v>
      </c>
      <c r="D89" s="20" t="n">
        <v>6.45</v>
      </c>
      <c r="E89" s="20" t="s">
        <v>19</v>
      </c>
      <c r="F89" s="20" t="n">
        <v>8.7</v>
      </c>
      <c r="G89" s="17"/>
      <c r="H89" s="17"/>
      <c r="I89" s="17"/>
      <c r="J89" s="10" t="n">
        <f aca="false">F89-D89</f>
        <v>2.25</v>
      </c>
      <c r="K89" s="17"/>
      <c r="L89" s="10" t="n">
        <f aca="false">(F89-D89)/(10-D89)</f>
        <v>0.633802816901408</v>
      </c>
    </row>
    <row r="90" customFormat="false" ht="12.8" hidden="false" customHeight="true" outlineLevel="0" collapsed="false">
      <c r="A90" s="17"/>
      <c r="B90" s="2" t="s">
        <v>20</v>
      </c>
      <c r="C90" s="2" t="s">
        <v>17</v>
      </c>
      <c r="D90" s="20" t="n">
        <v>6.45</v>
      </c>
      <c r="E90" s="20" t="s">
        <v>19</v>
      </c>
      <c r="F90" s="20" t="n">
        <v>8.7</v>
      </c>
      <c r="G90" s="17"/>
      <c r="H90" s="17"/>
      <c r="I90" s="17"/>
      <c r="J90" s="10" t="n">
        <f aca="false">F90-D90</f>
        <v>2.25</v>
      </c>
      <c r="K90" s="17"/>
      <c r="L90" s="10" t="n">
        <f aca="false">(F90-D90)/(10-D90)</f>
        <v>0.633802816901408</v>
      </c>
    </row>
    <row r="91" customFormat="false" ht="12.8" hidden="false" customHeight="true" outlineLevel="0" collapsed="false">
      <c r="A91" s="17"/>
      <c r="B91" s="2" t="s">
        <v>20</v>
      </c>
      <c r="C91" s="2" t="s">
        <v>16</v>
      </c>
      <c r="D91" s="20" t="n">
        <v>3.45</v>
      </c>
      <c r="E91" s="20" t="s">
        <v>19</v>
      </c>
      <c r="F91" s="20" t="n">
        <v>8.7</v>
      </c>
      <c r="G91" s="17"/>
      <c r="H91" s="17"/>
      <c r="I91" s="17"/>
      <c r="J91" s="10" t="n">
        <f aca="false">F91-D91</f>
        <v>5.25</v>
      </c>
      <c r="K91" s="17"/>
      <c r="L91" s="10" t="n">
        <f aca="false">(F91-D91)/(10-D91)</f>
        <v>0.801526717557252</v>
      </c>
    </row>
    <row r="92" customFormat="false" ht="12.8" hidden="false" customHeight="true" outlineLevel="0" collapsed="false">
      <c r="A92" s="17"/>
      <c r="B92" s="2" t="s">
        <v>20</v>
      </c>
      <c r="C92" s="2" t="s">
        <v>16</v>
      </c>
      <c r="D92" s="20" t="n">
        <v>3.45</v>
      </c>
      <c r="E92" s="9" t="s">
        <v>17</v>
      </c>
      <c r="F92" s="9" t="n">
        <v>6.45</v>
      </c>
      <c r="G92" s="17"/>
      <c r="H92" s="17"/>
      <c r="I92" s="17"/>
      <c r="J92" s="10" t="n">
        <f aca="false">F92-D92</f>
        <v>3</v>
      </c>
      <c r="K92" s="17"/>
      <c r="L92" s="10" t="n">
        <f aca="false">(F92-D92)/(10-D92)</f>
        <v>0.458015267175573</v>
      </c>
    </row>
    <row r="93" customFormat="false" ht="12.8" hidden="false" customHeight="true" outlineLevel="0" collapsed="false">
      <c r="A93" s="17"/>
      <c r="B93" s="2" t="s">
        <v>20</v>
      </c>
      <c r="C93" s="2" t="s">
        <v>18</v>
      </c>
      <c r="D93" s="20" t="n">
        <v>0.95</v>
      </c>
      <c r="E93" s="20" t="s">
        <v>16</v>
      </c>
      <c r="F93" s="20" t="n">
        <v>3.45</v>
      </c>
      <c r="G93" s="17"/>
      <c r="H93" s="17"/>
      <c r="I93" s="17"/>
      <c r="J93" s="10" t="n">
        <f aca="false">F93-D93</f>
        <v>2.5</v>
      </c>
      <c r="K93" s="17"/>
      <c r="L93" s="10" t="n">
        <f aca="false">(F93-D93)/(10-D93)</f>
        <v>0.276243093922652</v>
      </c>
    </row>
    <row r="94" customFormat="false" ht="12.8" hidden="false" customHeight="true" outlineLevel="0" collapsed="false">
      <c r="A94" s="17"/>
      <c r="B94" s="2" t="s">
        <v>20</v>
      </c>
      <c r="C94" s="2" t="s">
        <v>17</v>
      </c>
      <c r="D94" s="20" t="n">
        <v>6.45</v>
      </c>
      <c r="E94" s="20" t="s">
        <v>19</v>
      </c>
      <c r="F94" s="20" t="n">
        <v>8.7</v>
      </c>
      <c r="G94" s="17"/>
      <c r="H94" s="17"/>
      <c r="I94" s="17"/>
      <c r="J94" s="10" t="n">
        <f aca="false">F94-D94</f>
        <v>2.25</v>
      </c>
      <c r="K94" s="17"/>
      <c r="L94" s="10" t="n">
        <f aca="false">(F94-D94)/(10-D94)</f>
        <v>0.633802816901408</v>
      </c>
    </row>
    <row r="95" customFormat="false" ht="12.8" hidden="false" customHeight="true" outlineLevel="0" collapsed="false">
      <c r="A95" s="17"/>
      <c r="B95" s="2" t="s">
        <v>20</v>
      </c>
      <c r="C95" s="2" t="s">
        <v>16</v>
      </c>
      <c r="D95" s="20" t="n">
        <v>3.45</v>
      </c>
      <c r="E95" s="20" t="s">
        <v>19</v>
      </c>
      <c r="F95" s="20" t="n">
        <v>8.7</v>
      </c>
      <c r="G95" s="17"/>
      <c r="H95" s="17"/>
      <c r="I95" s="17"/>
      <c r="J95" s="10" t="n">
        <f aca="false">F95-D95</f>
        <v>5.25</v>
      </c>
      <c r="K95" s="17"/>
      <c r="L95" s="10" t="n">
        <f aca="false">(F95-D95)/(10-D95)</f>
        <v>0.801526717557252</v>
      </c>
    </row>
    <row r="96" customFormat="false" ht="12.8" hidden="false" customHeight="true" outlineLevel="0" collapsed="false">
      <c r="A96" s="17"/>
      <c r="B96" s="2" t="s">
        <v>20</v>
      </c>
      <c r="C96" s="2" t="s">
        <v>16</v>
      </c>
      <c r="D96" s="20" t="n">
        <v>3.45</v>
      </c>
      <c r="E96" s="20" t="s">
        <v>19</v>
      </c>
      <c r="F96" s="20" t="n">
        <v>8.7</v>
      </c>
      <c r="G96" s="17"/>
      <c r="H96" s="17"/>
      <c r="I96" s="17"/>
      <c r="J96" s="10" t="n">
        <f aca="false">F96-D96</f>
        <v>5.25</v>
      </c>
      <c r="K96" s="17"/>
      <c r="L96" s="10" t="n">
        <f aca="false">(F96-D96)/(10-D96)</f>
        <v>0.801526717557252</v>
      </c>
    </row>
    <row r="97" customFormat="false" ht="12.8" hidden="false" customHeight="true" outlineLevel="0" collapsed="false">
      <c r="A97" s="17"/>
      <c r="B97" s="2" t="s">
        <v>20</v>
      </c>
      <c r="C97" s="2" t="s">
        <v>16</v>
      </c>
      <c r="D97" s="20" t="n">
        <v>3.45</v>
      </c>
      <c r="E97" s="20" t="s">
        <v>19</v>
      </c>
      <c r="F97" s="20" t="n">
        <v>8.7</v>
      </c>
      <c r="G97" s="17"/>
      <c r="H97" s="17"/>
      <c r="I97" s="17"/>
      <c r="J97" s="10" t="n">
        <f aca="false">F97-D97</f>
        <v>5.25</v>
      </c>
      <c r="K97" s="17"/>
      <c r="L97" s="10" t="n">
        <f aca="false">(F97-D97)/(10-D97)</f>
        <v>0.801526717557252</v>
      </c>
    </row>
    <row r="98" customFormat="false" ht="12.8" hidden="false" customHeight="true" outlineLevel="0" collapsed="false">
      <c r="A98" s="17"/>
      <c r="B98" s="2" t="s">
        <v>20</v>
      </c>
      <c r="C98" s="2" t="s">
        <v>16</v>
      </c>
      <c r="D98" s="20" t="n">
        <v>3.45</v>
      </c>
      <c r="E98" s="2" t="s">
        <v>16</v>
      </c>
      <c r="F98" s="20" t="n">
        <v>3.45</v>
      </c>
      <c r="G98" s="17"/>
      <c r="H98" s="17"/>
      <c r="I98" s="17"/>
      <c r="J98" s="10" t="n">
        <f aca="false">F98-D98</f>
        <v>0</v>
      </c>
      <c r="K98" s="17"/>
      <c r="L98" s="10" t="n">
        <f aca="false">(F98-D98)/(10-D98)</f>
        <v>0</v>
      </c>
    </row>
    <row r="99" customFormat="false" ht="12.8" hidden="false" customHeight="true" outlineLevel="0" collapsed="false">
      <c r="A99" s="17"/>
      <c r="B99" s="2" t="s">
        <v>20</v>
      </c>
      <c r="C99" s="2" t="s">
        <v>16</v>
      </c>
      <c r="D99" s="20" t="n">
        <v>3.45</v>
      </c>
      <c r="E99" s="20" t="s">
        <v>19</v>
      </c>
      <c r="F99" s="20" t="n">
        <v>8.7</v>
      </c>
      <c r="G99" s="17"/>
      <c r="H99" s="17"/>
      <c r="I99" s="17"/>
      <c r="J99" s="10" t="n">
        <f aca="false">F99-D99</f>
        <v>5.25</v>
      </c>
      <c r="K99" s="17"/>
      <c r="L99" s="10" t="n">
        <f aca="false">(F99-D99)/(10-D99)</f>
        <v>0.801526717557252</v>
      </c>
    </row>
    <row r="100" customFormat="false" ht="12.8" hidden="false" customHeight="true" outlineLevel="0" collapsed="false">
      <c r="A100" s="17"/>
      <c r="B100" s="2" t="s">
        <v>20</v>
      </c>
      <c r="C100" s="2" t="s">
        <v>17</v>
      </c>
      <c r="D100" s="20" t="n">
        <v>6.45</v>
      </c>
      <c r="E100" s="20" t="s">
        <v>19</v>
      </c>
      <c r="F100" s="20" t="n">
        <v>8.7</v>
      </c>
      <c r="G100" s="17"/>
      <c r="H100" s="17"/>
      <c r="I100" s="17"/>
      <c r="J100" s="10" t="n">
        <f aca="false">F100-D100</f>
        <v>2.25</v>
      </c>
      <c r="K100" s="17"/>
      <c r="L100" s="10" t="n">
        <f aca="false">(F100-D100)/(10-D100)</f>
        <v>0.633802816901408</v>
      </c>
    </row>
    <row r="101" customFormat="false" ht="12.8" hidden="false" customHeight="true" outlineLevel="0" collapsed="false">
      <c r="A101" s="17"/>
      <c r="B101" s="2" t="s">
        <v>20</v>
      </c>
      <c r="C101" s="2" t="s">
        <v>16</v>
      </c>
      <c r="D101" s="20" t="n">
        <v>3.45</v>
      </c>
      <c r="E101" s="9" t="s">
        <v>17</v>
      </c>
      <c r="F101" s="9" t="n">
        <v>6.45</v>
      </c>
      <c r="G101" s="17"/>
      <c r="H101" s="17"/>
      <c r="I101" s="17"/>
      <c r="J101" s="10" t="n">
        <f aca="false">F101-D101</f>
        <v>3</v>
      </c>
      <c r="K101" s="17"/>
      <c r="L101" s="10" t="n">
        <f aca="false">(F101-D101)/(10-D101)</f>
        <v>0.458015267175573</v>
      </c>
    </row>
    <row r="102" customFormat="false" ht="12.8" hidden="false" customHeight="true" outlineLevel="0" collapsed="false">
      <c r="A102" s="17"/>
      <c r="B102" s="2" t="s">
        <v>20</v>
      </c>
      <c r="C102" s="2" t="s">
        <v>16</v>
      </c>
      <c r="D102" s="20" t="n">
        <v>3.45</v>
      </c>
      <c r="E102" s="2" t="s">
        <v>16</v>
      </c>
      <c r="F102" s="20" t="n">
        <v>3.45</v>
      </c>
      <c r="G102" s="17"/>
      <c r="H102" s="17"/>
      <c r="I102" s="17"/>
      <c r="J102" s="10" t="n">
        <f aca="false">F102-D102</f>
        <v>0</v>
      </c>
      <c r="K102" s="17"/>
      <c r="L102" s="10" t="n">
        <f aca="false">(F102-D102)/(10-D102)</f>
        <v>0</v>
      </c>
    </row>
    <row r="103" customFormat="false" ht="12.8" hidden="false" customHeight="true" outlineLevel="0" collapsed="false">
      <c r="A103" s="17"/>
      <c r="B103" s="2" t="s">
        <v>20</v>
      </c>
      <c r="C103" s="2" t="s">
        <v>17</v>
      </c>
      <c r="D103" s="20" t="n">
        <v>6.45</v>
      </c>
      <c r="E103" s="20" t="s">
        <v>19</v>
      </c>
      <c r="F103" s="20" t="n">
        <v>8.7</v>
      </c>
      <c r="G103" s="17"/>
      <c r="H103" s="17"/>
      <c r="I103" s="17"/>
      <c r="J103" s="10" t="n">
        <f aca="false">F103-D103</f>
        <v>2.25</v>
      </c>
      <c r="K103" s="17"/>
      <c r="L103" s="10" t="n">
        <f aca="false">(F103-D103)/(10-D103)</f>
        <v>0.633802816901408</v>
      </c>
    </row>
    <row r="104" customFormat="false" ht="12.8" hidden="false" customHeight="true" outlineLevel="0" collapsed="false">
      <c r="A104" s="17"/>
      <c r="B104" s="2" t="s">
        <v>20</v>
      </c>
      <c r="C104" s="2" t="s">
        <v>16</v>
      </c>
      <c r="D104" s="20" t="n">
        <v>3.45</v>
      </c>
      <c r="E104" s="2" t="s">
        <v>16</v>
      </c>
      <c r="F104" s="20" t="n">
        <v>3.45</v>
      </c>
      <c r="G104" s="17"/>
      <c r="H104" s="17"/>
      <c r="I104" s="17"/>
      <c r="J104" s="10" t="n">
        <f aca="false">F104-D104</f>
        <v>0</v>
      </c>
      <c r="K104" s="17"/>
      <c r="L104" s="10" t="n">
        <f aca="false">(F104-D104)/(10-D104)</f>
        <v>0</v>
      </c>
    </row>
    <row r="105" customFormat="false" ht="12.8" hidden="false" customHeight="true" outlineLevel="0" collapsed="false">
      <c r="A105" s="17"/>
      <c r="B105" s="2" t="s">
        <v>20</v>
      </c>
      <c r="C105" s="2" t="s">
        <v>18</v>
      </c>
      <c r="D105" s="20" t="n">
        <v>0.95</v>
      </c>
      <c r="E105" s="20" t="s">
        <v>18</v>
      </c>
      <c r="F105" s="20" t="n">
        <v>0.95</v>
      </c>
      <c r="G105" s="17"/>
      <c r="H105" s="17"/>
      <c r="I105" s="17"/>
      <c r="J105" s="10" t="n">
        <f aca="false">F105-D105</f>
        <v>0</v>
      </c>
      <c r="K105" s="17"/>
      <c r="L105" s="10" t="n">
        <f aca="false">(F105-D105)/(10-D105)</f>
        <v>0</v>
      </c>
    </row>
    <row r="106" customFormat="false" ht="12.8" hidden="false" customHeight="true" outlineLevel="0" collapsed="false">
      <c r="A106" s="17"/>
      <c r="B106" s="2" t="s">
        <v>20</v>
      </c>
      <c r="C106" s="2" t="s">
        <v>16</v>
      </c>
      <c r="D106" s="20" t="n">
        <v>3.45</v>
      </c>
      <c r="E106" s="20" t="s">
        <v>19</v>
      </c>
      <c r="F106" s="20" t="n">
        <v>8.7</v>
      </c>
      <c r="G106" s="17"/>
      <c r="H106" s="17"/>
      <c r="I106" s="17"/>
      <c r="J106" s="10" t="n">
        <f aca="false">F106-D106</f>
        <v>5.25</v>
      </c>
      <c r="K106" s="17"/>
      <c r="L106" s="10" t="n">
        <f aca="false">(F106-D106)/(10-D106)</f>
        <v>0.801526717557252</v>
      </c>
    </row>
    <row r="107" customFormat="false" ht="12.8" hidden="false" customHeight="true" outlineLevel="0" collapsed="false">
      <c r="A107" s="17"/>
      <c r="B107" s="2" t="s">
        <v>20</v>
      </c>
      <c r="C107" s="2" t="s">
        <v>16</v>
      </c>
      <c r="D107" s="20" t="n">
        <v>3.45</v>
      </c>
      <c r="E107" s="20" t="s">
        <v>19</v>
      </c>
      <c r="F107" s="20" t="n">
        <v>8.7</v>
      </c>
      <c r="G107" s="17"/>
      <c r="H107" s="17"/>
      <c r="I107" s="17"/>
      <c r="J107" s="10" t="n">
        <f aca="false">F107-D107</f>
        <v>5.25</v>
      </c>
      <c r="K107" s="17"/>
      <c r="L107" s="10" t="n">
        <f aca="false">(F107-D107)/(10-D107)</f>
        <v>0.801526717557252</v>
      </c>
    </row>
    <row r="108" customFormat="false" ht="12.8" hidden="false" customHeight="true" outlineLevel="0" collapsed="false">
      <c r="A108" s="17"/>
      <c r="B108" s="2" t="s">
        <v>20</v>
      </c>
      <c r="C108" s="2" t="s">
        <v>18</v>
      </c>
      <c r="D108" s="20" t="n">
        <v>0.95</v>
      </c>
      <c r="E108" s="20" t="s">
        <v>17</v>
      </c>
      <c r="F108" s="20" t="n">
        <v>6.45</v>
      </c>
      <c r="G108" s="17"/>
      <c r="H108" s="17"/>
      <c r="I108" s="17"/>
      <c r="J108" s="10" t="n">
        <f aca="false">F108-D108</f>
        <v>5.5</v>
      </c>
      <c r="K108" s="17"/>
      <c r="L108" s="10" t="n">
        <f aca="false">(F108-D108)/(10-D108)</f>
        <v>0.607734806629834</v>
      </c>
    </row>
    <row r="109" customFormat="false" ht="12.8" hidden="false" customHeight="true" outlineLevel="0" collapsed="false">
      <c r="A109" s="17"/>
      <c r="B109" s="2" t="s">
        <v>20</v>
      </c>
      <c r="C109" s="2" t="s">
        <v>16</v>
      </c>
      <c r="D109" s="20" t="n">
        <v>3.45</v>
      </c>
      <c r="E109" s="20" t="s">
        <v>19</v>
      </c>
      <c r="F109" s="20" t="n">
        <v>8.7</v>
      </c>
      <c r="G109" s="17"/>
      <c r="H109" s="17"/>
      <c r="I109" s="17"/>
      <c r="J109" s="10" t="n">
        <f aca="false">F109-D109</f>
        <v>5.25</v>
      </c>
      <c r="K109" s="17"/>
      <c r="L109" s="10" t="n">
        <f aca="false">(F109-D109)/(10-D109)</f>
        <v>0.801526717557252</v>
      </c>
    </row>
    <row r="110" customFormat="false" ht="12.8" hidden="false" customHeight="true" outlineLevel="0" collapsed="false">
      <c r="A110" s="17"/>
      <c r="B110" s="2" t="s">
        <v>20</v>
      </c>
      <c r="C110" s="2" t="s">
        <v>16</v>
      </c>
      <c r="D110" s="20" t="n">
        <v>3.45</v>
      </c>
      <c r="E110" s="20" t="s">
        <v>19</v>
      </c>
      <c r="F110" s="20" t="n">
        <v>8.7</v>
      </c>
      <c r="G110" s="17"/>
      <c r="H110" s="17"/>
      <c r="I110" s="17"/>
      <c r="J110" s="10" t="n">
        <f aca="false">F110-D110</f>
        <v>5.25</v>
      </c>
      <c r="K110" s="17"/>
      <c r="L110" s="10" t="n">
        <f aca="false">(F110-D110)/(10-D110)</f>
        <v>0.801526717557252</v>
      </c>
    </row>
    <row r="111" customFormat="false" ht="12.8" hidden="false" customHeight="true" outlineLevel="0" collapsed="false">
      <c r="A111" s="17"/>
      <c r="B111" s="2" t="s">
        <v>20</v>
      </c>
      <c r="C111" s="2" t="s">
        <v>17</v>
      </c>
      <c r="D111" s="20" t="n">
        <v>6.45</v>
      </c>
      <c r="E111" s="20" t="s">
        <v>19</v>
      </c>
      <c r="F111" s="20" t="n">
        <v>8.7</v>
      </c>
      <c r="G111" s="17"/>
      <c r="H111" s="17"/>
      <c r="I111" s="17"/>
      <c r="J111" s="10" t="n">
        <f aca="false">F111-D111</f>
        <v>2.25</v>
      </c>
      <c r="K111" s="17"/>
      <c r="L111" s="10" t="n">
        <f aca="false">(F111-D111)/(10-D111)</f>
        <v>0.633802816901408</v>
      </c>
    </row>
    <row r="112" customFormat="false" ht="12.8" hidden="false" customHeight="true" outlineLevel="0" collapsed="false">
      <c r="A112" s="17"/>
      <c r="B112" s="2" t="s">
        <v>20</v>
      </c>
      <c r="C112" s="2" t="s">
        <v>16</v>
      </c>
      <c r="D112" s="20" t="n">
        <v>3.45</v>
      </c>
      <c r="E112" s="9" t="s">
        <v>17</v>
      </c>
      <c r="F112" s="9" t="n">
        <v>6.45</v>
      </c>
      <c r="G112" s="17"/>
      <c r="H112" s="17"/>
      <c r="I112" s="17"/>
      <c r="J112" s="10" t="n">
        <f aca="false">F112-D112</f>
        <v>3</v>
      </c>
      <c r="K112" s="17"/>
      <c r="L112" s="10" t="n">
        <f aca="false">(F112-D112)/(10-D112)</f>
        <v>0.458015267175573</v>
      </c>
    </row>
    <row r="113" customFormat="false" ht="12.8" hidden="false" customHeight="true" outlineLevel="0" collapsed="false">
      <c r="A113" s="17"/>
      <c r="B113" s="2" t="s">
        <v>20</v>
      </c>
      <c r="C113" s="2" t="s">
        <v>17</v>
      </c>
      <c r="D113" s="20" t="n">
        <v>6.45</v>
      </c>
      <c r="E113" s="20" t="s">
        <v>19</v>
      </c>
      <c r="F113" s="20" t="n">
        <v>8.7</v>
      </c>
      <c r="G113" s="17"/>
      <c r="H113" s="17"/>
      <c r="I113" s="17"/>
      <c r="J113" s="10" t="n">
        <f aca="false">F113-D113</f>
        <v>2.25</v>
      </c>
      <c r="K113" s="17"/>
      <c r="L113" s="10" t="n">
        <f aca="false">(F113-D113)/(10-D113)</f>
        <v>0.633802816901408</v>
      </c>
    </row>
    <row r="114" customFormat="false" ht="12.8" hidden="false" customHeight="true" outlineLevel="0" collapsed="false">
      <c r="A114" s="17"/>
      <c r="B114" s="2" t="s">
        <v>20</v>
      </c>
      <c r="C114" s="2" t="s">
        <v>17</v>
      </c>
      <c r="D114" s="20" t="n">
        <v>6.45</v>
      </c>
      <c r="E114" s="20" t="s">
        <v>19</v>
      </c>
      <c r="F114" s="20" t="n">
        <v>8.7</v>
      </c>
      <c r="G114" s="17"/>
      <c r="H114" s="17"/>
      <c r="I114" s="17"/>
      <c r="J114" s="10" t="n">
        <f aca="false">F114-D114</f>
        <v>2.25</v>
      </c>
      <c r="K114" s="17"/>
      <c r="L114" s="10" t="n">
        <f aca="false">(F114-D114)/(10-D114)</f>
        <v>0.633802816901408</v>
      </c>
    </row>
    <row r="115" customFormat="false" ht="12.8" hidden="false" customHeight="true" outlineLevel="0" collapsed="false">
      <c r="A115" s="17"/>
      <c r="B115" s="2" t="s">
        <v>20</v>
      </c>
      <c r="C115" s="2" t="s">
        <v>16</v>
      </c>
      <c r="D115" s="20" t="n">
        <v>3.45</v>
      </c>
      <c r="E115" s="2" t="s">
        <v>16</v>
      </c>
      <c r="F115" s="20" t="n">
        <v>3.45</v>
      </c>
      <c r="G115" s="17"/>
      <c r="H115" s="17"/>
      <c r="I115" s="17"/>
      <c r="J115" s="10" t="n">
        <f aca="false">F115-D115</f>
        <v>0</v>
      </c>
      <c r="K115" s="17"/>
      <c r="L115" s="10" t="n">
        <f aca="false">(F115-D115)/(10-D115)</f>
        <v>0</v>
      </c>
    </row>
    <row r="116" customFormat="false" ht="12.8" hidden="false" customHeight="true" outlineLevel="0" collapsed="false">
      <c r="A116" s="17"/>
      <c r="B116" s="2" t="s">
        <v>20</v>
      </c>
      <c r="C116" s="2" t="s">
        <v>16</v>
      </c>
      <c r="D116" s="20" t="n">
        <v>3.45</v>
      </c>
      <c r="E116" s="20" t="s">
        <v>19</v>
      </c>
      <c r="F116" s="20" t="n">
        <v>8.7</v>
      </c>
      <c r="G116" s="17"/>
      <c r="H116" s="17"/>
      <c r="I116" s="17"/>
      <c r="J116" s="10" t="n">
        <f aca="false">F116-D116</f>
        <v>5.25</v>
      </c>
      <c r="K116" s="17"/>
      <c r="L116" s="10" t="n">
        <f aca="false">(F116-D116)/(10-D116)</f>
        <v>0.801526717557252</v>
      </c>
    </row>
    <row r="117" customFormat="false" ht="12.8" hidden="false" customHeight="true" outlineLevel="0" collapsed="false">
      <c r="A117" s="17"/>
      <c r="B117" s="2" t="s">
        <v>20</v>
      </c>
      <c r="C117" s="2" t="s">
        <v>16</v>
      </c>
      <c r="D117" s="20" t="n">
        <v>3.45</v>
      </c>
      <c r="E117" s="9" t="s">
        <v>17</v>
      </c>
      <c r="F117" s="9" t="n">
        <v>6.45</v>
      </c>
      <c r="G117" s="17"/>
      <c r="H117" s="17"/>
      <c r="I117" s="17"/>
      <c r="J117" s="10" t="n">
        <f aca="false">F117-D117</f>
        <v>3</v>
      </c>
      <c r="K117" s="17"/>
      <c r="L117" s="10" t="n">
        <f aca="false">(F117-D117)/(10-D117)</f>
        <v>0.458015267175573</v>
      </c>
    </row>
    <row r="118" customFormat="false" ht="12.8" hidden="false" customHeight="true" outlineLevel="0" collapsed="false">
      <c r="A118" s="17"/>
      <c r="B118" s="2" t="s">
        <v>20</v>
      </c>
      <c r="C118" s="2" t="s">
        <v>16</v>
      </c>
      <c r="D118" s="20" t="n">
        <v>3.45</v>
      </c>
      <c r="E118" s="9" t="s">
        <v>17</v>
      </c>
      <c r="F118" s="9" t="n">
        <v>6.45</v>
      </c>
      <c r="G118" s="17"/>
      <c r="H118" s="17"/>
      <c r="I118" s="17"/>
      <c r="J118" s="10" t="n">
        <f aca="false">F118-D118</f>
        <v>3</v>
      </c>
      <c r="K118" s="17"/>
      <c r="L118" s="10" t="n">
        <f aca="false">(F118-D118)/(10-D118)</f>
        <v>0.458015267175573</v>
      </c>
    </row>
    <row r="119" customFormat="false" ht="12.8" hidden="false" customHeight="true" outlineLevel="0" collapsed="false">
      <c r="A119" s="17"/>
      <c r="B119" s="2" t="s">
        <v>20</v>
      </c>
      <c r="C119" s="2" t="s">
        <v>16</v>
      </c>
      <c r="D119" s="20" t="n">
        <v>3.45</v>
      </c>
      <c r="E119" s="20" t="s">
        <v>16</v>
      </c>
      <c r="F119" s="20" t="n">
        <v>3.45</v>
      </c>
      <c r="G119" s="17"/>
      <c r="H119" s="17"/>
      <c r="I119" s="17"/>
      <c r="J119" s="10" t="n">
        <f aca="false">F119-D119</f>
        <v>0</v>
      </c>
      <c r="K119" s="17"/>
      <c r="L119" s="10" t="n">
        <f aca="false">(F119-D119)/(10-D119)</f>
        <v>0</v>
      </c>
    </row>
    <row r="120" customFormat="false" ht="12.8" hidden="false" customHeight="true" outlineLevel="0" collapsed="false">
      <c r="A120" s="17"/>
      <c r="B120" s="2" t="s">
        <v>20</v>
      </c>
      <c r="C120" s="2" t="s">
        <v>16</v>
      </c>
      <c r="D120" s="20" t="n">
        <v>3.45</v>
      </c>
      <c r="E120" s="20" t="s">
        <v>19</v>
      </c>
      <c r="F120" s="20" t="n">
        <v>8.7</v>
      </c>
      <c r="G120" s="17"/>
      <c r="H120" s="17"/>
      <c r="I120" s="17"/>
      <c r="J120" s="10" t="n">
        <f aca="false">F120-D120</f>
        <v>5.25</v>
      </c>
      <c r="K120" s="17"/>
      <c r="L120" s="10" t="n">
        <f aca="false">(F120-D120)/(10-D120)</f>
        <v>0.801526717557252</v>
      </c>
    </row>
    <row r="121" customFormat="false" ht="12.8" hidden="false" customHeight="true" outlineLevel="0" collapsed="false">
      <c r="A121" s="17"/>
      <c r="B121" s="2" t="s">
        <v>20</v>
      </c>
      <c r="C121" s="2" t="s">
        <v>16</v>
      </c>
      <c r="D121" s="20" t="n">
        <v>3.45</v>
      </c>
      <c r="E121" s="2" t="s">
        <v>16</v>
      </c>
      <c r="F121" s="20" t="n">
        <v>3.45</v>
      </c>
      <c r="G121" s="17"/>
      <c r="H121" s="17"/>
      <c r="I121" s="17"/>
      <c r="J121" s="10" t="n">
        <f aca="false">F121-D121</f>
        <v>0</v>
      </c>
      <c r="K121" s="17"/>
      <c r="L121" s="10" t="n">
        <f aca="false">(F121-D121)/(10-D121)</f>
        <v>0</v>
      </c>
    </row>
    <row r="122" customFormat="false" ht="12.8" hidden="false" customHeight="true" outlineLevel="0" collapsed="false">
      <c r="A122" s="17"/>
      <c r="B122" s="2" t="s">
        <v>20</v>
      </c>
      <c r="C122" s="2" t="s">
        <v>18</v>
      </c>
      <c r="D122" s="20" t="n">
        <v>0.95</v>
      </c>
      <c r="E122" s="20" t="s">
        <v>16</v>
      </c>
      <c r="F122" s="20" t="n">
        <v>3.45</v>
      </c>
      <c r="G122" s="17"/>
      <c r="H122" s="17"/>
      <c r="I122" s="17"/>
      <c r="J122" s="10" t="n">
        <f aca="false">F122-D122</f>
        <v>2.5</v>
      </c>
      <c r="K122" s="17"/>
      <c r="L122" s="10" t="n">
        <f aca="false">(F122-D122)/(10-D122)</f>
        <v>0.276243093922652</v>
      </c>
    </row>
    <row r="123" customFormat="false" ht="12.8" hidden="false" customHeight="true" outlineLevel="0" collapsed="false">
      <c r="A123" s="17"/>
      <c r="B123" s="2" t="s">
        <v>20</v>
      </c>
      <c r="C123" s="2" t="s">
        <v>16</v>
      </c>
      <c r="D123" s="20" t="n">
        <v>3.45</v>
      </c>
      <c r="E123" s="20" t="s">
        <v>19</v>
      </c>
      <c r="F123" s="20" t="n">
        <v>8.7</v>
      </c>
      <c r="G123" s="17"/>
      <c r="H123" s="17"/>
      <c r="I123" s="17"/>
      <c r="J123" s="10" t="n">
        <f aca="false">F123-D123</f>
        <v>5.25</v>
      </c>
      <c r="K123" s="17"/>
      <c r="L123" s="10" t="n">
        <f aca="false">(F123-D123)/(10-D123)</f>
        <v>0.801526717557252</v>
      </c>
    </row>
    <row r="124" customFormat="false" ht="12.8" hidden="false" customHeight="true" outlineLevel="0" collapsed="false">
      <c r="A124" s="17"/>
      <c r="B124" s="2" t="s">
        <v>20</v>
      </c>
      <c r="C124" s="2" t="s">
        <v>16</v>
      </c>
      <c r="D124" s="20" t="n">
        <v>3.45</v>
      </c>
      <c r="E124" s="9" t="s">
        <v>17</v>
      </c>
      <c r="F124" s="9" t="n">
        <v>6.45</v>
      </c>
      <c r="G124" s="17"/>
      <c r="H124" s="17"/>
      <c r="I124" s="17"/>
      <c r="J124" s="10" t="n">
        <f aca="false">F124-D124</f>
        <v>3</v>
      </c>
      <c r="K124" s="17"/>
      <c r="L124" s="10" t="n">
        <f aca="false">(F124-D124)/(10-D124)</f>
        <v>0.458015267175573</v>
      </c>
    </row>
    <row r="125" customFormat="false" ht="12.8" hidden="false" customHeight="true" outlineLevel="0" collapsed="false">
      <c r="A125" s="17"/>
      <c r="B125" s="2" t="s">
        <v>20</v>
      </c>
      <c r="C125" s="2" t="s">
        <v>16</v>
      </c>
      <c r="D125" s="20" t="n">
        <v>3.45</v>
      </c>
      <c r="E125" s="20" t="s">
        <v>19</v>
      </c>
      <c r="F125" s="20" t="n">
        <v>8.7</v>
      </c>
      <c r="G125" s="17"/>
      <c r="H125" s="17"/>
      <c r="I125" s="17"/>
      <c r="J125" s="10" t="n">
        <f aca="false">F125-D125</f>
        <v>5.25</v>
      </c>
      <c r="K125" s="17"/>
      <c r="L125" s="10" t="n">
        <f aca="false">(F125-D125)/(10-D125)</f>
        <v>0.801526717557252</v>
      </c>
    </row>
    <row r="126" customFormat="false" ht="12.8" hidden="false" customHeight="true" outlineLevel="0" collapsed="false">
      <c r="A126" s="17"/>
      <c r="B126" s="2" t="s">
        <v>20</v>
      </c>
      <c r="C126" s="2" t="s">
        <v>16</v>
      </c>
      <c r="D126" s="20" t="n">
        <v>3.45</v>
      </c>
      <c r="E126" s="20" t="s">
        <v>19</v>
      </c>
      <c r="F126" s="20" t="n">
        <v>8.7</v>
      </c>
      <c r="G126" s="17"/>
      <c r="H126" s="17"/>
      <c r="I126" s="17"/>
      <c r="J126" s="10" t="n">
        <f aca="false">F126-D126</f>
        <v>5.25</v>
      </c>
      <c r="K126" s="17"/>
      <c r="L126" s="10" t="n">
        <f aca="false">(F126-D126)/(10-D126)</f>
        <v>0.801526717557252</v>
      </c>
    </row>
    <row r="127" customFormat="false" ht="12.8" hidden="false" customHeight="true" outlineLevel="0" collapsed="false">
      <c r="A127" s="17"/>
      <c r="B127" s="2" t="s">
        <v>20</v>
      </c>
      <c r="C127" s="2" t="s">
        <v>16</v>
      </c>
      <c r="D127" s="20" t="n">
        <v>3.45</v>
      </c>
      <c r="E127" s="2" t="s">
        <v>16</v>
      </c>
      <c r="F127" s="20" t="n">
        <v>3.45</v>
      </c>
      <c r="G127" s="17"/>
      <c r="H127" s="17"/>
      <c r="I127" s="17"/>
      <c r="J127" s="10" t="n">
        <f aca="false">F127-D127</f>
        <v>0</v>
      </c>
      <c r="K127" s="17"/>
      <c r="L127" s="10" t="n">
        <f aca="false">(F127-D127)/(10-D127)</f>
        <v>0</v>
      </c>
    </row>
    <row r="128" customFormat="false" ht="12.8" hidden="false" customHeight="true" outlineLevel="0" collapsed="false">
      <c r="A128" s="17"/>
      <c r="B128" s="2" t="s">
        <v>20</v>
      </c>
      <c r="C128" s="2" t="s">
        <v>18</v>
      </c>
      <c r="D128" s="20" t="n">
        <v>0.95</v>
      </c>
      <c r="E128" s="9" t="s">
        <v>17</v>
      </c>
      <c r="F128" s="9" t="n">
        <v>6.45</v>
      </c>
      <c r="G128" s="17"/>
      <c r="H128" s="17"/>
      <c r="I128" s="17"/>
      <c r="J128" s="10" t="n">
        <f aca="false">F128-D128</f>
        <v>5.5</v>
      </c>
      <c r="K128" s="17"/>
      <c r="L128" s="10" t="n">
        <f aca="false">(F128-D128)/(10-D128)</f>
        <v>0.607734806629834</v>
      </c>
    </row>
    <row r="129" customFormat="false" ht="12.8" hidden="false" customHeight="true" outlineLevel="0" collapsed="false">
      <c r="A129" s="17"/>
      <c r="B129" s="2" t="s">
        <v>20</v>
      </c>
      <c r="C129" s="2" t="s">
        <v>16</v>
      </c>
      <c r="D129" s="20" t="n">
        <v>3.45</v>
      </c>
      <c r="E129" s="2" t="s">
        <v>16</v>
      </c>
      <c r="F129" s="20" t="n">
        <v>3.45</v>
      </c>
      <c r="G129" s="17"/>
      <c r="H129" s="17"/>
      <c r="I129" s="17"/>
      <c r="J129" s="10" t="n">
        <f aca="false">F129-D129</f>
        <v>0</v>
      </c>
      <c r="K129" s="17"/>
      <c r="L129" s="10" t="n">
        <f aca="false">(F129-D129)/(10-D129)</f>
        <v>0</v>
      </c>
    </row>
    <row r="130" customFormat="false" ht="12.8" hidden="false" customHeight="true" outlineLevel="0" collapsed="false">
      <c r="A130" s="17"/>
      <c r="B130" s="2" t="s">
        <v>20</v>
      </c>
      <c r="C130" s="2" t="s">
        <v>16</v>
      </c>
      <c r="D130" s="20" t="n">
        <v>3.45</v>
      </c>
      <c r="E130" s="2" t="s">
        <v>16</v>
      </c>
      <c r="F130" s="20" t="n">
        <v>3.45</v>
      </c>
      <c r="G130" s="17"/>
      <c r="H130" s="17"/>
      <c r="I130" s="17"/>
      <c r="J130" s="10" t="n">
        <f aca="false">F130-D130</f>
        <v>0</v>
      </c>
      <c r="K130" s="17"/>
      <c r="L130" s="10" t="n">
        <f aca="false">(F130-D130)/(10-D130)</f>
        <v>0</v>
      </c>
    </row>
    <row r="131" customFormat="false" ht="12.8" hidden="false" customHeight="true" outlineLevel="0" collapsed="false">
      <c r="A131" s="17"/>
      <c r="B131" s="2" t="s">
        <v>20</v>
      </c>
      <c r="C131" s="2" t="s">
        <v>18</v>
      </c>
      <c r="D131" s="20" t="n">
        <v>0.95</v>
      </c>
      <c r="E131" s="20" t="s">
        <v>16</v>
      </c>
      <c r="F131" s="20" t="n">
        <v>3.45</v>
      </c>
      <c r="G131" s="17"/>
      <c r="H131" s="17"/>
      <c r="I131" s="17"/>
      <c r="J131" s="10" t="n">
        <f aca="false">F131-D131</f>
        <v>2.5</v>
      </c>
      <c r="K131" s="17"/>
      <c r="L131" s="10" t="n">
        <f aca="false">(F131-D131)/(10-D131)</f>
        <v>0.276243093922652</v>
      </c>
    </row>
    <row r="132" customFormat="false" ht="12.8" hidden="false" customHeight="true" outlineLevel="0" collapsed="false">
      <c r="A132" s="17"/>
      <c r="B132" s="2" t="s">
        <v>20</v>
      </c>
      <c r="C132" s="2" t="s">
        <v>16</v>
      </c>
      <c r="D132" s="20" t="n">
        <v>3.45</v>
      </c>
      <c r="E132" s="9" t="s">
        <v>17</v>
      </c>
      <c r="F132" s="9" t="n">
        <v>6.45</v>
      </c>
      <c r="G132" s="17"/>
      <c r="H132" s="17"/>
      <c r="I132" s="17"/>
      <c r="J132" s="10" t="n">
        <f aca="false">F132-D132</f>
        <v>3</v>
      </c>
      <c r="K132" s="17"/>
      <c r="L132" s="10" t="n">
        <f aca="false">(F132-D132)/(10-D132)</f>
        <v>0.458015267175573</v>
      </c>
    </row>
    <row r="133" customFormat="false" ht="12.8" hidden="false" customHeight="true" outlineLevel="0" collapsed="false">
      <c r="A133" s="17"/>
      <c r="B133" s="2" t="s">
        <v>20</v>
      </c>
      <c r="C133" s="2" t="s">
        <v>16</v>
      </c>
      <c r="D133" s="20" t="n">
        <v>3.45</v>
      </c>
      <c r="E133" s="20" t="s">
        <v>19</v>
      </c>
      <c r="F133" s="20" t="n">
        <v>8.7</v>
      </c>
      <c r="G133" s="17"/>
      <c r="H133" s="17"/>
      <c r="I133" s="17"/>
      <c r="J133" s="10" t="n">
        <f aca="false">F133-D133</f>
        <v>5.25</v>
      </c>
      <c r="K133" s="17"/>
      <c r="L133" s="10" t="n">
        <f aca="false">(F133-D133)/(10-D133)</f>
        <v>0.801526717557252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2441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2026-01-12T16:02:02Z</dcterms:modified>
  <cp:revision>311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