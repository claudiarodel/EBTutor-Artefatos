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<sst xmlns="http://schemas.openxmlformats.org/spreadsheetml/2006/main" count="59" uniqueCount="37">
  <si>
    <t xml:space="preserve">Número</t>
  </si>
  <si>
    <t xml:space="preserve">Grupo</t>
  </si>
  <si>
    <t xml:space="preserve">Q – 1ª Tentativa</t>
  </si>
  <si>
    <t xml:space="preserve">Q- 2º Tentativa</t>
  </si>
  <si>
    <t xml:space="preserve">Variação Das Notas</t>
  </si>
  <si>
    <t xml:space="preserve">Número De Tentativas Feitas</t>
  </si>
  <si>
    <t xml:space="preserve">Q- º Tentativa</t>
  </si>
  <si>
    <t xml:space="preserve">Q- 4º Tentativa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</si>
  <si>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</si>
  <si>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</si>
  <si>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</si>
  <si>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</si>
  <si>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DP</t>
  </si>
  <si>
    <t xml:space="preserve">25276-q1</t>
  </si>
  <si>
    <t xml:space="preserve">controle</t>
  </si>
  <si>
    <t xml:space="preserve">intervencao</t>
  </si>
  <si>
    <t xml:space="preserve">28385-q1</t>
  </si>
  <si>
    <t xml:space="preserve">32795-q1</t>
  </si>
  <si>
    <t xml:space="preserve">11742-q2</t>
  </si>
  <si>
    <t xml:space="preserve">18948-q2</t>
  </si>
  <si>
    <t xml:space="preserve">25276-q2</t>
  </si>
  <si>
    <t xml:space="preserve">28385-q2</t>
  </si>
  <si>
    <t xml:space="preserve">32795-q2</t>
  </si>
  <si>
    <t xml:space="preserve">35016-q2</t>
  </si>
  <si>
    <t xml:space="preserve">35975-q2</t>
  </si>
  <si>
    <t xml:space="preserve">45941-q2</t>
  </si>
  <si>
    <t xml:space="preserve">6787-q3</t>
  </si>
  <si>
    <t xml:space="preserve">18948-q3</t>
  </si>
  <si>
    <t xml:space="preserve">25276-q3</t>
  </si>
  <si>
    <t xml:space="preserve">28385-q3</t>
  </si>
  <si>
    <t xml:space="preserve">57322-q3</t>
  </si>
  <si>
    <t xml:space="preserve">25276-q4</t>
  </si>
  <si>
    <t xml:space="preserve">28385-q4</t>
  </si>
  <si>
    <t xml:space="preserve">25276-q5</t>
  </si>
  <si>
    <t xml:space="preserve">28385-q5</t>
  </si>
  <si>
    <t xml:space="preserve">25276-q6</t>
  </si>
  <si>
    <t xml:space="preserve">28385-q6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</si>
</sst>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#,##0.00"/>
    <numFmt numFmtId="168" formatCode="#,##0.0000"/>
    <numFmt numFmtId="169" formatCode="0.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53515625" defaultRowHeight="12.8" zeroHeight="false" outlineLevelRow="0" outlineLevelCol="0"/>
  <cols>
    <col collapsed="false" customWidth="true" hidden="false" outlineLevel="0" max="9" min="9" style="1" width="22.44"/>
    <col collapsed="false" customWidth="true" hidden="false" outlineLevel="0" max="10" min="10" style="1" width="21.72"/>
    <col collapsed="false" customWidth="false" hidden="false" outlineLevel="0" max="12" min="11" style="1" width="11.53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/>
      <c r="L1" s="5" t="s">
        <v>10</v>
      </c>
      <c r="M1" s="5" t="s">
        <v>11</v>
      </c>
      <c r="N1" s="5" t="s">
        <v>12</v>
      </c>
    </row>
    <row r="2" customFormat="false" ht="12.8" hidden="false" customHeight="true" outlineLevel="0" collapsed="false">
      <c r="A2" s="6" t="s">
        <v>13</v>
      </c>
      <c r="B2" s="6" t="s">
        <v>14</v>
      </c>
      <c r="C2" s="7" t="n">
        <v>4</v>
      </c>
      <c r="D2" s="8" t="n">
        <v>8</v>
      </c>
      <c r="E2" s="9"/>
      <c r="F2" s="8" t="n">
        <v>3</v>
      </c>
      <c r="G2" s="8" t="n">
        <v>10</v>
      </c>
      <c r="I2" s="10"/>
      <c r="J2" s="10" t="n">
        <f aca="false">IF($F2=1, 0, (MAX($H2,$G2,$D2,$C2)-$C2)/($F2-1))</f>
        <v>3</v>
      </c>
      <c r="K2" s="10" t="s">
        <v>15</v>
      </c>
      <c r="L2" s="10" t="n">
        <f aca="false">AVERAGE(I2:I23)</f>
        <v>2.77777777777778</v>
      </c>
      <c r="M2" s="10" t="n">
        <f aca="false">MEDIAN(I2:I23)</f>
        <v>2</v>
      </c>
      <c r="N2" s="10" t="n">
        <f aca="false">STDEV(I2:I23)</f>
        <v>1.93496970108261</v>
      </c>
    </row>
    <row r="3" customFormat="false" ht="12.8" hidden="false" customHeight="true" outlineLevel="0" collapsed="false">
      <c r="A3" s="11" t="s">
        <v>16</v>
      </c>
      <c r="B3" s="12" t="s">
        <v>15</v>
      </c>
      <c r="C3" s="7" t="n">
        <v>8</v>
      </c>
      <c r="D3" s="7" t="n">
        <v>8</v>
      </c>
      <c r="E3" s="9"/>
      <c r="F3" s="8" t="n">
        <v>3</v>
      </c>
      <c r="G3" s="8" t="n">
        <v>10</v>
      </c>
      <c r="H3" s="13"/>
      <c r="I3" s="10" t="n">
        <f aca="false">IF($F3=1, 0, (MAX($H3,$G3,$D3,$C3)-$C3)/($F3-1))</f>
        <v>1</v>
      </c>
      <c r="J3" s="10"/>
      <c r="K3" s="13"/>
      <c r="L3" s="13"/>
      <c r="M3" s="10"/>
      <c r="N3" s="10"/>
    </row>
    <row r="4" customFormat="false" ht="12.8" hidden="false" customHeight="true" outlineLevel="0" collapsed="false">
      <c r="A4" s="14" t="s">
        <v>17</v>
      </c>
      <c r="B4" s="6" t="s">
        <v>14</v>
      </c>
      <c r="C4" s="7" t="n">
        <v>8</v>
      </c>
      <c r="D4" s="7" t="n">
        <v>10</v>
      </c>
      <c r="E4" s="9"/>
      <c r="F4" s="8" t="n">
        <v>2</v>
      </c>
      <c r="G4" s="8"/>
      <c r="H4" s="13"/>
      <c r="I4" s="10"/>
      <c r="J4" s="10" t="n">
        <f aca="false">IF($F4=1, 0, (MAX($H4,$G4,$D4,$C4)-$C4)/($F4-1))</f>
        <v>2</v>
      </c>
      <c r="K4" s="10" t="s">
        <v>14</v>
      </c>
      <c r="L4" s="10" t="n">
        <f aca="false">AVERAGE(J2:J23)</f>
        <v>1.5</v>
      </c>
      <c r="M4" s="10" t="n">
        <f aca="false">MEDIAN(J2:J23)</f>
        <v>2</v>
      </c>
      <c r="N4" s="10" t="n">
        <f aca="false">STDEV(J2:J23)</f>
        <v>1.43372087784044</v>
      </c>
    </row>
    <row r="5" customFormat="false" ht="12.8" hidden="false" customHeight="true" outlineLevel="0" collapsed="false">
      <c r="A5" s="11" t="s">
        <v>18</v>
      </c>
      <c r="B5" s="12" t="s">
        <v>15</v>
      </c>
      <c r="C5" s="8" t="n">
        <v>6</v>
      </c>
      <c r="D5" s="8" t="n">
        <v>10</v>
      </c>
      <c r="E5" s="8"/>
      <c r="F5" s="8" t="n">
        <v>2</v>
      </c>
      <c r="G5" s="8"/>
      <c r="H5" s="8"/>
      <c r="I5" s="15" t="n">
        <f aca="false">IF($F5=1, 0, (MAX($H5,$G5,$D5,$C5)-$C5)/($F5-1))</f>
        <v>4</v>
      </c>
      <c r="J5" s="15"/>
      <c r="K5" s="16"/>
      <c r="L5" s="16"/>
      <c r="M5" s="17"/>
      <c r="N5" s="18"/>
    </row>
    <row r="6" customFormat="false" ht="12.8" hidden="false" customHeight="true" outlineLevel="0" collapsed="false">
      <c r="A6" s="11" t="s">
        <v>19</v>
      </c>
      <c r="B6" s="12" t="s">
        <v>15</v>
      </c>
      <c r="C6" s="7" t="n">
        <v>8</v>
      </c>
      <c r="D6" s="7" t="n">
        <v>8</v>
      </c>
      <c r="E6" s="8"/>
      <c r="F6" s="8" t="n">
        <v>3</v>
      </c>
      <c r="G6" s="7" t="n">
        <v>10</v>
      </c>
      <c r="H6" s="8"/>
      <c r="I6" s="15" t="n">
        <f aca="false">IF($F6=1, 0, (MAX($H6,$G6,$D6,$C6)-$C6)/($F6-1))</f>
        <v>1</v>
      </c>
      <c r="J6" s="15"/>
      <c r="K6" s="19"/>
      <c r="L6" s="19"/>
      <c r="M6" s="18"/>
      <c r="N6" s="18"/>
    </row>
    <row r="7" customFormat="false" ht="12.8" hidden="false" customHeight="true" outlineLevel="0" collapsed="false">
      <c r="A7" s="6" t="s">
        <v>20</v>
      </c>
      <c r="B7" s="6" t="s">
        <v>14</v>
      </c>
      <c r="C7" s="7" t="n">
        <v>4</v>
      </c>
      <c r="D7" s="7" t="n">
        <v>8</v>
      </c>
      <c r="E7" s="8"/>
      <c r="F7" s="8" t="n">
        <v>3</v>
      </c>
      <c r="G7" s="20" t="n">
        <v>8</v>
      </c>
      <c r="H7" s="7"/>
      <c r="I7" s="21"/>
      <c r="J7" s="15" t="n">
        <f aca="false">IF($F7=1, 0, (MAX($H7,$G7,$D7,$C7)-$C7)/($F7-1))</f>
        <v>2</v>
      </c>
      <c r="K7" s="22"/>
      <c r="L7" s="22"/>
      <c r="M7" s="18"/>
      <c r="N7" s="18"/>
    </row>
    <row r="8" customFormat="false" ht="12.8" hidden="false" customHeight="true" outlineLevel="0" collapsed="false">
      <c r="A8" s="11" t="s">
        <v>21</v>
      </c>
      <c r="B8" s="12" t="s">
        <v>15</v>
      </c>
      <c r="C8" s="7" t="n">
        <v>6</v>
      </c>
      <c r="D8" s="8" t="n">
        <v>8</v>
      </c>
      <c r="E8" s="8"/>
      <c r="F8" s="8" t="n">
        <v>4</v>
      </c>
      <c r="G8" s="8"/>
      <c r="H8" s="8" t="n">
        <v>10</v>
      </c>
      <c r="I8" s="15" t="n">
        <f aca="false">IF($F8=1, 0, (MAX($H8,$G8,$D8,$C8)-$C8)/($F8-1))</f>
        <v>1.33333333333333</v>
      </c>
      <c r="J8" s="15"/>
      <c r="K8" s="19"/>
      <c r="L8" s="19"/>
      <c r="M8" s="18"/>
      <c r="N8" s="18"/>
    </row>
    <row r="9" customFormat="false" ht="12.8" hidden="false" customHeight="true" outlineLevel="0" collapsed="false">
      <c r="A9" s="14" t="s">
        <v>22</v>
      </c>
      <c r="B9" s="6" t="s">
        <v>14</v>
      </c>
      <c r="C9" s="7" t="n">
        <v>6</v>
      </c>
      <c r="D9" s="8" t="n">
        <v>8</v>
      </c>
      <c r="E9" s="8"/>
      <c r="F9" s="8" t="n">
        <v>2</v>
      </c>
      <c r="G9" s="8"/>
      <c r="H9" s="8"/>
      <c r="I9" s="23"/>
      <c r="J9" s="15" t="n">
        <f aca="false">IF($F9=1, 0, (MAX($H9,$G9,$D9,$C9)-$C9)/($F9-1))</f>
        <v>2</v>
      </c>
      <c r="K9" s="19"/>
      <c r="L9" s="19"/>
      <c r="M9" s="18"/>
      <c r="N9" s="18"/>
    </row>
    <row r="10" customFormat="false" ht="12.8" hidden="false" customHeight="true" outlineLevel="0" collapsed="false">
      <c r="A10" s="24" t="s">
        <v>23</v>
      </c>
      <c r="B10" s="12" t="s">
        <v>15</v>
      </c>
      <c r="C10" s="7" t="n">
        <v>8</v>
      </c>
      <c r="D10" s="8" t="n">
        <v>10</v>
      </c>
      <c r="E10" s="8"/>
      <c r="F10" s="8" t="n">
        <v>2</v>
      </c>
      <c r="G10" s="8"/>
      <c r="H10" s="8"/>
      <c r="I10" s="15" t="n">
        <f aca="false">IF($F10=1, 0, (MAX($H10,$G10,$D10,$C10)-$C10)/($F10-1))</f>
        <v>2</v>
      </c>
      <c r="J10" s="10"/>
      <c r="K10" s="10"/>
      <c r="L10" s="10"/>
      <c r="M10" s="18"/>
      <c r="N10" s="18"/>
    </row>
    <row r="11" customFormat="false" ht="12.8" hidden="false" customHeight="true" outlineLevel="0" collapsed="false">
      <c r="A11" s="24" t="s">
        <v>24</v>
      </c>
      <c r="B11" s="12" t="s">
        <v>15</v>
      </c>
      <c r="C11" s="7" t="n">
        <v>6</v>
      </c>
      <c r="D11" s="8" t="n">
        <v>10</v>
      </c>
      <c r="E11" s="8"/>
      <c r="F11" s="8" t="n">
        <v>2</v>
      </c>
      <c r="G11" s="8"/>
      <c r="H11" s="8"/>
      <c r="I11" s="15" t="n">
        <f aca="false">IF($F11=1, 0, (MAX($H11,$G11,$D11,$C11)-$C11)/($F11-1))</f>
        <v>4</v>
      </c>
      <c r="J11" s="15"/>
      <c r="K11" s="10"/>
      <c r="L11" s="10"/>
      <c r="M11" s="17"/>
      <c r="N11" s="17"/>
    </row>
    <row r="12" s="26" customFormat="true" ht="12.8" hidden="false" customHeight="true" outlineLevel="0" collapsed="false">
      <c r="A12" s="24" t="s">
        <v>25</v>
      </c>
      <c r="B12" s="25" t="s">
        <v>15</v>
      </c>
      <c r="C12" s="7" t="n">
        <v>8</v>
      </c>
      <c r="D12" s="7" t="n">
        <v>10</v>
      </c>
      <c r="E12" s="8"/>
      <c r="F12" s="8" t="n">
        <v>2</v>
      </c>
      <c r="G12" s="8"/>
      <c r="H12" s="8"/>
      <c r="I12" s="15" t="n">
        <f aca="false">IF($F12=1, 0, (MAX($H12,$G12,$D12,$C12)-$C12)/($F12-1))</f>
        <v>2</v>
      </c>
      <c r="J12" s="15"/>
      <c r="K12" s="19"/>
      <c r="L12" s="19"/>
      <c r="M12" s="17"/>
      <c r="N12" s="17"/>
    </row>
    <row r="13" s="26" customFormat="true" ht="12.8" hidden="false" customHeight="true" outlineLevel="0" collapsed="false">
      <c r="A13" s="14" t="s">
        <v>26</v>
      </c>
      <c r="B13" s="6" t="s">
        <v>14</v>
      </c>
      <c r="C13" s="7" t="n">
        <v>8</v>
      </c>
      <c r="D13" s="8" t="n">
        <v>8</v>
      </c>
      <c r="E13" s="8"/>
      <c r="F13" s="8" t="n">
        <v>2</v>
      </c>
      <c r="G13" s="8"/>
      <c r="H13" s="8"/>
      <c r="I13" s="23"/>
      <c r="J13" s="15" t="n">
        <f aca="false">IF($F13=1, 0, (MAX($H13,$G13,$D13,$C13)-$C13)/($F13-1))</f>
        <v>0</v>
      </c>
      <c r="K13" s="19"/>
      <c r="L13" s="19"/>
      <c r="M13" s="17"/>
      <c r="N13" s="17"/>
    </row>
    <row r="14" s="26" customFormat="true" ht="12.8" hidden="false" customHeight="true" outlineLevel="0" collapsed="false">
      <c r="A14" s="11" t="s">
        <v>27</v>
      </c>
      <c r="B14" s="12" t="s">
        <v>15</v>
      </c>
      <c r="C14" s="7" t="n">
        <v>4</v>
      </c>
      <c r="D14" s="8" t="n">
        <v>10</v>
      </c>
      <c r="E14" s="8"/>
      <c r="F14" s="8" t="n">
        <v>2</v>
      </c>
      <c r="G14" s="8"/>
      <c r="H14" s="8"/>
      <c r="I14" s="15" t="n">
        <f aca="false">IF($F14=1, 0, (MAX($H14,$G14,$D14,$C14)-$C14)/($F14-1))</f>
        <v>6</v>
      </c>
      <c r="J14" s="15"/>
      <c r="K14" s="19"/>
      <c r="L14" s="19"/>
      <c r="M14" s="17"/>
      <c r="N14" s="17"/>
    </row>
    <row r="15" s="26" customFormat="true" ht="12.8" hidden="false" customHeight="true" outlineLevel="0" collapsed="false">
      <c r="A15" s="6" t="s">
        <v>28</v>
      </c>
      <c r="B15" s="6" t="s">
        <v>14</v>
      </c>
      <c r="C15" s="7" t="n">
        <v>4</v>
      </c>
      <c r="D15" s="7" t="n">
        <v>4</v>
      </c>
      <c r="E15" s="8"/>
      <c r="F15" s="8" t="n">
        <v>3</v>
      </c>
      <c r="G15" s="8" t="n">
        <v>8</v>
      </c>
      <c r="H15" s="8"/>
      <c r="I15" s="23"/>
      <c r="J15" s="15" t="n">
        <f aca="false">IF($F15=1, 0, (MAX($H15,$G15,$D15,$C15)-$C15)/($F15-1))</f>
        <v>2</v>
      </c>
      <c r="K15" s="19"/>
      <c r="L15" s="19"/>
      <c r="M15" s="17"/>
      <c r="N15" s="17"/>
    </row>
    <row r="16" s="26" customFormat="true" ht="12.8" hidden="false" customHeight="true" outlineLevel="0" collapsed="false">
      <c r="A16" s="11" t="s">
        <v>29</v>
      </c>
      <c r="B16" s="12" t="s">
        <v>15</v>
      </c>
      <c r="C16" s="7" t="n">
        <v>8</v>
      </c>
      <c r="D16" s="7" t="n">
        <v>4</v>
      </c>
      <c r="E16" s="8"/>
      <c r="F16" s="8" t="n">
        <v>3</v>
      </c>
      <c r="G16" s="7" t="n">
        <v>10</v>
      </c>
      <c r="H16" s="8"/>
      <c r="I16" s="15" t="n">
        <f aca="false">IF($F16=1, 0, (MAX($H16,$G16,$D16,$C16)-$C16)/($F16-1))</f>
        <v>1</v>
      </c>
      <c r="J16" s="15"/>
      <c r="K16" s="19"/>
      <c r="L16" s="19"/>
      <c r="M16" s="17"/>
      <c r="N16" s="17"/>
    </row>
    <row r="17" customFormat="false" ht="12.8" hidden="false" customHeight="true" outlineLevel="0" collapsed="false">
      <c r="A17" s="14" t="s">
        <v>30</v>
      </c>
      <c r="B17" s="6" t="s">
        <v>14</v>
      </c>
      <c r="C17" s="7" t="n">
        <v>8</v>
      </c>
      <c r="D17" s="8" t="n">
        <v>8</v>
      </c>
      <c r="E17" s="8"/>
      <c r="F17" s="8" t="n">
        <v>2</v>
      </c>
      <c r="G17" s="8"/>
      <c r="H17" s="8"/>
      <c r="I17" s="8"/>
      <c r="J17" s="15" t="n">
        <f aca="false">IF($F17=1, 0, (MAX($H17,$G17,$D17,$C17)-$C17)/($F17-1))</f>
        <v>0</v>
      </c>
      <c r="K17" s="22"/>
      <c r="L17" s="22"/>
      <c r="M17" s="18"/>
      <c r="N17" s="18"/>
    </row>
    <row r="18" customFormat="false" ht="12.8" hidden="false" customHeight="true" outlineLevel="0" collapsed="false">
      <c r="A18" s="6" t="s">
        <v>31</v>
      </c>
      <c r="B18" s="6" t="s">
        <v>14</v>
      </c>
      <c r="C18" s="7" t="n">
        <v>6</v>
      </c>
      <c r="D18" s="7" t="n">
        <v>6</v>
      </c>
      <c r="E18" s="8"/>
      <c r="F18" s="8" t="n">
        <v>3</v>
      </c>
      <c r="G18" s="8" t="n">
        <v>6</v>
      </c>
      <c r="H18" s="8"/>
      <c r="I18" s="8"/>
      <c r="J18" s="15" t="n">
        <f aca="false">IF($F18=1, 0, (MAX($H18,$G18,$D18,$C18)-$C18)/($F18-1))</f>
        <v>0</v>
      </c>
      <c r="K18" s="19"/>
      <c r="L18" s="19"/>
      <c r="M18" s="18"/>
      <c r="N18" s="18"/>
    </row>
    <row r="19" customFormat="false" ht="12.8" hidden="false" customHeight="true" outlineLevel="0" collapsed="false">
      <c r="A19" s="11" t="s">
        <v>32</v>
      </c>
      <c r="B19" s="12" t="s">
        <v>15</v>
      </c>
      <c r="C19" s="7" t="n">
        <v>4</v>
      </c>
      <c r="D19" s="7" t="n">
        <v>10</v>
      </c>
      <c r="E19" s="8"/>
      <c r="F19" s="8" t="n">
        <v>2</v>
      </c>
      <c r="G19" s="7"/>
      <c r="H19" s="8"/>
      <c r="I19" s="15" t="n">
        <f aca="false">IF($F19=1, 0, (MAX($H19,$G19,$D19,$C19)-$C19)/($F19-1))</f>
        <v>6</v>
      </c>
      <c r="J19" s="15"/>
      <c r="K19" s="19"/>
      <c r="L19" s="19"/>
      <c r="M19" s="18"/>
      <c r="N19" s="18"/>
    </row>
    <row r="20" customFormat="false" ht="12.8" hidden="false" customHeight="true" outlineLevel="0" collapsed="false">
      <c r="A20" s="6" t="s">
        <v>33</v>
      </c>
      <c r="B20" s="6" t="s">
        <v>14</v>
      </c>
      <c r="C20" s="7" t="n">
        <v>6</v>
      </c>
      <c r="D20" s="7" t="n">
        <v>10</v>
      </c>
      <c r="E20" s="8"/>
      <c r="F20" s="8" t="n">
        <v>2</v>
      </c>
      <c r="G20" s="7"/>
      <c r="H20" s="8"/>
      <c r="I20" s="21"/>
      <c r="J20" s="15" t="n">
        <f aca="false">IF($F20=1, 0, (MAX($H20,$G20,$D20,$C20)-$C20)/($F20-1))</f>
        <v>4</v>
      </c>
      <c r="K20" s="16"/>
      <c r="L20" s="19"/>
      <c r="M20" s="18"/>
      <c r="N20" s="18"/>
    </row>
    <row r="21" customFormat="false" ht="12.8" hidden="false" customHeight="true" outlineLevel="0" collapsed="false">
      <c r="A21" s="11" t="s">
        <v>34</v>
      </c>
      <c r="B21" s="12" t="s">
        <v>15</v>
      </c>
      <c r="C21" s="7" t="n">
        <v>8</v>
      </c>
      <c r="D21" s="7" t="n">
        <v>8</v>
      </c>
      <c r="E21" s="8"/>
      <c r="F21" s="8" t="n">
        <v>3</v>
      </c>
      <c r="G21" s="7" t="n">
        <v>10</v>
      </c>
      <c r="H21" s="8"/>
      <c r="I21" s="15" t="n">
        <f aca="false">IF($F21=1, 0, (MAX($H21,$G21,$D21,$C21)-$C21)/($F21-1))</f>
        <v>1</v>
      </c>
      <c r="J21" s="15"/>
      <c r="K21" s="16"/>
      <c r="L21" s="19"/>
      <c r="M21" s="18"/>
      <c r="N21" s="18"/>
    </row>
    <row r="22" customFormat="false" ht="12.8" hidden="false" customHeight="true" outlineLevel="0" collapsed="false">
      <c r="A22" s="6" t="s">
        <v>35</v>
      </c>
      <c r="B22" s="6" t="s">
        <v>14</v>
      </c>
      <c r="C22" s="7" t="n">
        <v>8</v>
      </c>
      <c r="D22" s="7" t="n">
        <v>8</v>
      </c>
      <c r="E22" s="8"/>
      <c r="F22" s="8" t="n">
        <v>2</v>
      </c>
      <c r="G22" s="7"/>
      <c r="H22" s="8"/>
      <c r="I22" s="21"/>
      <c r="J22" s="15" t="n">
        <f aca="false">IF($F22=1, 0, (MAX($H22,$G22,$D22,$C22)-$C22)/($F22-1))</f>
        <v>0</v>
      </c>
      <c r="K22" s="27"/>
      <c r="L22" s="19"/>
      <c r="M22" s="18"/>
      <c r="N22" s="18"/>
    </row>
    <row r="23" customFormat="false" ht="12.8" hidden="false" customHeight="true" outlineLevel="0" collapsed="false">
      <c r="A23" s="11" t="s">
        <v>36</v>
      </c>
      <c r="B23" s="12" t="s">
        <v>15</v>
      </c>
      <c r="C23" s="7" t="n">
        <v>6</v>
      </c>
      <c r="D23" s="7" t="n">
        <v>10</v>
      </c>
      <c r="E23" s="8"/>
      <c r="F23" s="8" t="n">
        <v>2</v>
      </c>
      <c r="G23" s="7"/>
      <c r="H23" s="8"/>
      <c r="I23" s="15" t="n">
        <f aca="false">IF($F23=1, 0, (MAX($H23,$G23,$D23,$C23)-$C23)/($F23-1))</f>
        <v>4</v>
      </c>
      <c r="J23" s="10"/>
      <c r="K23" s="16"/>
      <c r="L23" s="19"/>
      <c r="M23" s="18"/>
      <c r="N23" s="18"/>
    </row>
    <row r="24" customFormat="false" ht="12.8" hidden="false" customHeight="true" outlineLevel="0" collapsed="false">
      <c r="A24" s="17"/>
      <c r="B24" s="12"/>
      <c r="C24" s="28"/>
      <c r="D24" s="29"/>
      <c r="E24" s="11"/>
      <c r="F24" s="11"/>
      <c r="G24" s="30"/>
      <c r="H24" s="13"/>
      <c r="I24" s="13"/>
      <c r="J24" s="10"/>
      <c r="K24" s="10"/>
      <c r="L24" s="19"/>
      <c r="M24" s="18"/>
      <c r="N24" s="18"/>
    </row>
    <row r="25" customFormat="false" ht="12.8" hidden="false" customHeight="true" outlineLevel="0" collapsed="false">
      <c r="A25" s="17"/>
      <c r="B25" s="12"/>
      <c r="C25" s="28"/>
      <c r="D25" s="29"/>
      <c r="E25" s="11"/>
      <c r="F25" s="11"/>
      <c r="G25" s="30"/>
      <c r="H25" s="13"/>
      <c r="I25" s="13"/>
      <c r="J25" s="10"/>
      <c r="K25" s="10"/>
      <c r="L25" s="19"/>
      <c r="M25" s="18"/>
      <c r="N25" s="18"/>
    </row>
    <row r="26" customFormat="false" ht="12.8" hidden="false" customHeight="true" outlineLevel="0" collapsed="false">
      <c r="A26" s="17"/>
      <c r="B26" s="12"/>
      <c r="C26" s="28"/>
      <c r="D26" s="30"/>
      <c r="E26" s="11"/>
      <c r="F26" s="11"/>
      <c r="G26" s="30"/>
      <c r="H26" s="13"/>
      <c r="I26" s="13"/>
      <c r="J26" s="10"/>
      <c r="K26" s="10"/>
      <c r="L26" s="19"/>
      <c r="M26" s="18"/>
      <c r="N26" s="18"/>
    </row>
    <row r="27" customFormat="false" ht="12.8" hidden="false" customHeight="true" outlineLevel="0" collapsed="false">
      <c r="A27" s="17"/>
      <c r="B27" s="12"/>
      <c r="C27" s="28"/>
      <c r="D27" s="30"/>
      <c r="E27" s="11"/>
      <c r="F27" s="11"/>
      <c r="G27" s="30"/>
      <c r="H27" s="13"/>
      <c r="I27" s="13"/>
      <c r="J27" s="10"/>
      <c r="K27" s="10"/>
      <c r="L27" s="19"/>
      <c r="M27" s="18"/>
      <c r="N27" s="18"/>
    </row>
    <row r="28" customFormat="false" ht="12.8" hidden="false" customHeight="true" outlineLevel="0" collapsed="false">
      <c r="A28" s="17"/>
      <c r="B28" s="12"/>
      <c r="C28" s="28"/>
      <c r="D28" s="29"/>
      <c r="E28" s="11"/>
      <c r="F28" s="11"/>
      <c r="G28" s="31"/>
      <c r="H28" s="13"/>
      <c r="I28" s="13"/>
      <c r="J28" s="10"/>
      <c r="K28" s="10"/>
      <c r="L28" s="19"/>
      <c r="M28" s="18"/>
      <c r="N28" s="18"/>
    </row>
    <row r="29" customFormat="false" ht="12.8" hidden="false" customHeight="true" outlineLevel="0" collapsed="false">
      <c r="A29" s="17"/>
      <c r="B29" s="12"/>
      <c r="C29" s="28"/>
      <c r="D29" s="29"/>
      <c r="E29" s="11"/>
      <c r="F29" s="11"/>
      <c r="G29" s="30"/>
      <c r="H29" s="13"/>
      <c r="I29" s="26"/>
      <c r="J29" s="10"/>
      <c r="K29" s="10"/>
      <c r="L29" s="19"/>
      <c r="M29" s="18"/>
      <c r="N29" s="18"/>
    </row>
    <row r="30" customFormat="false" ht="12.8" hidden="false" customHeight="true" outlineLevel="0" collapsed="false">
      <c r="A30" s="17"/>
      <c r="B30" s="12"/>
      <c r="C30" s="28"/>
      <c r="D30" s="30"/>
      <c r="E30" s="11"/>
      <c r="F30" s="11"/>
      <c r="G30" s="30"/>
      <c r="H30" s="13"/>
      <c r="I30" s="13"/>
      <c r="J30" s="10"/>
      <c r="K30" s="10"/>
      <c r="L30" s="19"/>
      <c r="M30" s="18"/>
      <c r="N30" s="18"/>
    </row>
    <row r="31" customFormat="false" ht="12.8" hidden="false" customHeight="true" outlineLevel="0" collapsed="false">
      <c r="A31" s="11"/>
      <c r="B31" s="11"/>
      <c r="C31" s="8"/>
      <c r="D31" s="13"/>
      <c r="E31" s="13"/>
      <c r="F31" s="13"/>
      <c r="G31" s="13"/>
      <c r="H31" s="13"/>
      <c r="I31" s="13"/>
      <c r="J31" s="10"/>
      <c r="K31" s="10"/>
      <c r="L31" s="19"/>
      <c r="M31" s="18"/>
      <c r="N31" s="18"/>
    </row>
    <row r="32" customFormat="false" ht="12.8" hidden="false" customHeight="true" outlineLevel="0" collapsed="false">
      <c r="A32" s="11"/>
      <c r="B32" s="11"/>
      <c r="C32" s="8"/>
      <c r="D32" s="13"/>
      <c r="E32" s="13"/>
      <c r="F32" s="13"/>
      <c r="G32" s="13"/>
      <c r="H32" s="13"/>
      <c r="I32" s="13"/>
      <c r="J32" s="19"/>
      <c r="K32" s="19"/>
      <c r="L32" s="19"/>
      <c r="M32" s="18"/>
      <c r="N32" s="18"/>
    </row>
    <row r="33" customFormat="false" ht="12.8" hidden="false" customHeight="true" outlineLevel="0" collapsed="false">
      <c r="A33" s="11"/>
      <c r="B33" s="11"/>
      <c r="C33" s="7"/>
      <c r="D33" s="32"/>
      <c r="E33" s="32"/>
      <c r="F33" s="32"/>
      <c r="G33" s="33"/>
      <c r="H33" s="33"/>
      <c r="I33" s="13"/>
      <c r="J33" s="34"/>
      <c r="K33" s="35"/>
    </row>
    <row r="34" customFormat="false" ht="12.8" hidden="false" customHeight="true" outlineLevel="0" collapsed="false">
      <c r="A34" s="11"/>
      <c r="B34" s="11"/>
      <c r="C34" s="8"/>
      <c r="D34" s="13"/>
      <c r="E34" s="13"/>
      <c r="F34" s="13"/>
      <c r="G34" s="13"/>
      <c r="H34" s="13"/>
      <c r="I34" s="26"/>
      <c r="J34" s="10"/>
      <c r="K34" s="36"/>
    </row>
    <row r="35" customFormat="false" ht="12.8" hidden="false" customHeight="true" outlineLevel="0" collapsed="false">
      <c r="A35" s="11"/>
      <c r="B35" s="11"/>
      <c r="C35" s="8"/>
      <c r="D35" s="13"/>
      <c r="E35" s="13"/>
      <c r="F35" s="13"/>
      <c r="G35" s="13"/>
      <c r="H35" s="13"/>
      <c r="I35" s="13"/>
      <c r="J35" s="19"/>
      <c r="K35" s="37"/>
    </row>
    <row r="36" customFormat="false" ht="12.8" hidden="false" customHeight="true" outlineLevel="0" collapsed="false">
      <c r="A36" s="11"/>
      <c r="B36" s="11"/>
      <c r="C36" s="8"/>
      <c r="D36" s="13"/>
      <c r="E36" s="13"/>
      <c r="F36" s="13"/>
      <c r="G36" s="13"/>
      <c r="H36" s="13"/>
      <c r="I36" s="26"/>
      <c r="J36" s="10"/>
      <c r="K36" s="36"/>
    </row>
    <row r="37" customFormat="false" ht="12.8" hidden="false" customHeight="true" outlineLevel="0" collapsed="false">
      <c r="A37" s="11"/>
      <c r="B37" s="11"/>
      <c r="C37" s="8"/>
      <c r="D37" s="13"/>
      <c r="E37" s="13"/>
      <c r="F37" s="13"/>
      <c r="G37" s="13"/>
      <c r="H37" s="13"/>
      <c r="I37" s="13"/>
      <c r="J37" s="19"/>
      <c r="K37" s="37"/>
    </row>
    <row r="38" customFormat="false" ht="12.8" hidden="false" customHeight="true" outlineLevel="0" collapsed="false">
      <c r="A38" s="11"/>
      <c r="B38" s="11"/>
      <c r="C38" s="8"/>
      <c r="D38" s="13"/>
      <c r="E38" s="13"/>
      <c r="F38" s="13"/>
      <c r="G38" s="13"/>
      <c r="H38" s="13"/>
      <c r="I38" s="26"/>
      <c r="J38" s="10"/>
      <c r="K38" s="36"/>
    </row>
    <row r="39" customFormat="false" ht="12.8" hidden="false" customHeight="true" outlineLevel="0" collapsed="false">
      <c r="A39" s="11"/>
      <c r="B39" s="11"/>
      <c r="C39" s="8"/>
      <c r="D39" s="13"/>
      <c r="E39" s="13"/>
      <c r="F39" s="13"/>
      <c r="G39" s="13"/>
      <c r="H39" s="20"/>
      <c r="I39" s="13"/>
      <c r="J39" s="19"/>
      <c r="K39" s="37"/>
    </row>
    <row r="40" customFormat="false" ht="12.8" hidden="false" customHeight="true" outlineLevel="0" collapsed="false">
      <c r="A40" s="11"/>
      <c r="B40" s="11"/>
      <c r="C40" s="8"/>
      <c r="D40" s="13"/>
      <c r="E40" s="13"/>
      <c r="F40" s="13"/>
      <c r="G40" s="13"/>
      <c r="H40" s="13"/>
      <c r="I40" s="13"/>
      <c r="J40" s="10"/>
      <c r="K40" s="36"/>
    </row>
    <row r="41" customFormat="false" ht="12.8" hidden="false" customHeight="true" outlineLevel="0" collapsed="false">
      <c r="A41" s="11"/>
      <c r="B41" s="11"/>
      <c r="C41" s="8"/>
      <c r="D41" s="13"/>
      <c r="E41" s="13"/>
      <c r="F41" s="13"/>
      <c r="G41" s="13"/>
      <c r="H41" s="13"/>
      <c r="I41" s="26"/>
      <c r="J41" s="10"/>
      <c r="K41" s="36"/>
    </row>
    <row r="42" customFormat="false" ht="12.8" hidden="false" customHeight="true" outlineLevel="0" collapsed="false">
      <c r="A42" s="11"/>
      <c r="B42" s="11"/>
      <c r="C42" s="8"/>
      <c r="D42" s="13"/>
      <c r="E42" s="13"/>
      <c r="F42" s="13"/>
      <c r="G42" s="13"/>
      <c r="H42" s="13"/>
      <c r="I42" s="13"/>
      <c r="J42" s="10"/>
      <c r="K42" s="36"/>
    </row>
    <row r="43" customFormat="false" ht="12.8" hidden="false" customHeight="true" outlineLevel="0" collapsed="false">
      <c r="A43" s="11"/>
      <c r="B43" s="11"/>
      <c r="C43" s="8"/>
      <c r="D43" s="13"/>
      <c r="E43" s="13"/>
      <c r="F43" s="13"/>
      <c r="G43" s="13"/>
      <c r="H43" s="13"/>
      <c r="I43" s="13"/>
      <c r="J43" s="10"/>
      <c r="K43" s="36"/>
    </row>
    <row r="44" customFormat="false" ht="12.8" hidden="false" customHeight="true" outlineLevel="0" collapsed="false">
      <c r="A44" s="11"/>
      <c r="B44" s="11"/>
      <c r="C44" s="38"/>
      <c r="D44" s="38"/>
      <c r="E44" s="38"/>
      <c r="F44" s="38"/>
      <c r="G44" s="38"/>
      <c r="H44" s="38"/>
      <c r="I44" s="13"/>
      <c r="J44" s="19"/>
      <c r="K44" s="37"/>
    </row>
    <row r="45" customFormat="false" ht="12.8" hidden="false" customHeight="true" outlineLevel="0" collapsed="false">
      <c r="A45" s="11"/>
      <c r="B45" s="11"/>
      <c r="C45" s="38"/>
      <c r="D45" s="38"/>
      <c r="E45" s="38"/>
      <c r="F45" s="38"/>
      <c r="G45" s="38"/>
      <c r="H45" s="38"/>
      <c r="I45" s="13"/>
      <c r="J45" s="22"/>
      <c r="K45" s="39"/>
    </row>
    <row r="46" customFormat="false" ht="12.8" hidden="false" customHeight="true" outlineLevel="0" collapsed="false">
      <c r="A46" s="11"/>
      <c r="B46" s="11"/>
      <c r="C46" s="38"/>
      <c r="D46" s="38"/>
      <c r="E46" s="38"/>
      <c r="F46" s="38"/>
      <c r="G46" s="38"/>
      <c r="H46" s="38"/>
      <c r="I46" s="17"/>
      <c r="J46" s="10"/>
      <c r="K46" s="36"/>
    </row>
    <row r="47" customFormat="false" ht="12.8" hidden="false" customHeight="true" outlineLevel="0" collapsed="false">
      <c r="A47" s="11"/>
      <c r="B47" s="11"/>
      <c r="C47" s="40"/>
      <c r="D47" s="38"/>
      <c r="E47" s="13"/>
      <c r="F47" s="17"/>
      <c r="G47" s="17"/>
      <c r="H47" s="17"/>
      <c r="I47" s="13"/>
      <c r="J47" s="19"/>
      <c r="K47" s="37"/>
      <c r="L47" s="36"/>
    </row>
    <row r="48" customFormat="false" ht="12.8" hidden="false" customHeight="true" outlineLevel="0" collapsed="false">
      <c r="A48" s="11"/>
      <c r="B48" s="11"/>
      <c r="C48" s="40"/>
      <c r="D48" s="38"/>
      <c r="E48" s="13"/>
      <c r="F48" s="17"/>
      <c r="G48" s="17"/>
      <c r="H48" s="17"/>
      <c r="I48" s="26"/>
      <c r="J48" s="10"/>
      <c r="K48" s="36"/>
      <c r="L48" s="36"/>
    </row>
    <row r="49" customFormat="false" ht="12.8" hidden="false" customHeight="true" outlineLevel="0" collapsed="false">
      <c r="A49" s="11"/>
      <c r="B49" s="11"/>
      <c r="C49" s="40"/>
      <c r="D49" s="38"/>
      <c r="E49" s="13"/>
      <c r="F49" s="17"/>
      <c r="G49" s="17"/>
      <c r="H49" s="17"/>
      <c r="I49" s="13"/>
      <c r="J49" s="19"/>
      <c r="K49" s="37"/>
      <c r="L49" s="36"/>
    </row>
    <row r="50" customFormat="false" ht="12.8" hidden="false" customHeight="true" outlineLevel="0" collapsed="false">
      <c r="A50" s="11"/>
      <c r="B50" s="11"/>
      <c r="C50" s="40"/>
      <c r="D50" s="13"/>
      <c r="E50" s="13"/>
      <c r="F50" s="17"/>
      <c r="G50" s="17"/>
      <c r="H50" s="13"/>
      <c r="I50" s="26"/>
      <c r="J50" s="10"/>
      <c r="K50" s="36"/>
    </row>
    <row r="51" customFormat="false" ht="12.8" hidden="false" customHeight="true" outlineLevel="0" collapsed="false">
      <c r="A51" s="11"/>
      <c r="B51" s="11"/>
      <c r="C51" s="40"/>
      <c r="D51" s="13"/>
      <c r="E51" s="13"/>
      <c r="F51" s="17"/>
      <c r="G51" s="17"/>
      <c r="H51" s="13"/>
      <c r="I51" s="13"/>
      <c r="J51" s="19"/>
      <c r="K51" s="37"/>
    </row>
    <row r="52" customFormat="false" ht="12.8" hidden="false" customHeight="true" outlineLevel="0" collapsed="false">
      <c r="A52" s="11"/>
      <c r="B52" s="11"/>
      <c r="C52" s="40"/>
      <c r="D52" s="13"/>
      <c r="E52" s="13"/>
      <c r="F52" s="17"/>
      <c r="G52" s="17"/>
      <c r="H52" s="13"/>
      <c r="I52" s="13"/>
      <c r="J52" s="19"/>
      <c r="K52" s="37"/>
    </row>
    <row r="53" customFormat="false" ht="12.8" hidden="false" customHeight="true" outlineLevel="0" collapsed="false">
      <c r="A53" s="11"/>
      <c r="B53" s="11"/>
      <c r="C53" s="40"/>
      <c r="D53" s="13"/>
      <c r="E53" s="13"/>
      <c r="F53" s="17"/>
      <c r="G53" s="17"/>
      <c r="H53" s="13"/>
      <c r="I53" s="26"/>
      <c r="J53" s="10"/>
      <c r="K53" s="36"/>
    </row>
    <row r="54" customFormat="false" ht="12.8" hidden="false" customHeight="true" outlineLevel="0" collapsed="false">
      <c r="A54" s="11"/>
      <c r="B54" s="11"/>
      <c r="C54" s="40"/>
      <c r="D54" s="13"/>
      <c r="E54" s="13"/>
      <c r="F54" s="17"/>
      <c r="G54" s="17"/>
      <c r="H54" s="13"/>
      <c r="I54" s="13"/>
      <c r="J54" s="19"/>
      <c r="K54" s="37"/>
    </row>
    <row r="55" customFormat="false" ht="12.8" hidden="false" customHeight="true" outlineLevel="0" collapsed="false">
      <c r="A55" s="11"/>
      <c r="B55" s="11"/>
      <c r="C55" s="40"/>
      <c r="D55" s="13"/>
      <c r="E55" s="13"/>
      <c r="F55" s="17"/>
      <c r="G55" s="17"/>
      <c r="H55" s="13"/>
      <c r="I55" s="26"/>
      <c r="J55" s="10"/>
      <c r="K55" s="36"/>
    </row>
    <row r="56" customFormat="false" ht="12.8" hidden="false" customHeight="true" outlineLevel="0" collapsed="false">
      <c r="A56" s="11"/>
      <c r="B56" s="11"/>
      <c r="C56" s="40"/>
      <c r="D56" s="13"/>
      <c r="E56" s="13"/>
      <c r="F56" s="17"/>
      <c r="G56" s="17"/>
      <c r="H56" s="13"/>
      <c r="I56" s="13"/>
      <c r="J56" s="10"/>
      <c r="K56" s="36"/>
    </row>
    <row r="57" customFormat="false" ht="12.8" hidden="false" customHeight="true" outlineLevel="0" collapsed="false">
      <c r="A57" s="11"/>
      <c r="B57" s="11"/>
      <c r="C57" s="8"/>
      <c r="D57" s="13"/>
      <c r="E57" s="13"/>
      <c r="F57" s="13"/>
      <c r="G57" s="13"/>
      <c r="H57" s="13"/>
      <c r="I57" s="13"/>
      <c r="J57" s="19"/>
      <c r="K57" s="37"/>
    </row>
    <row r="58" customFormat="false" ht="12.8" hidden="false" customHeight="true" outlineLevel="0" collapsed="false">
      <c r="A58" s="11"/>
      <c r="B58" s="11"/>
      <c r="C58" s="8"/>
      <c r="D58" s="13"/>
      <c r="E58" s="13"/>
      <c r="F58" s="13"/>
      <c r="G58" s="13"/>
      <c r="H58" s="13"/>
      <c r="I58" s="13"/>
      <c r="J58" s="10"/>
      <c r="K58" s="36"/>
    </row>
    <row r="59" customFormat="false" ht="12.8" hidden="false" customHeight="true" outlineLevel="0" collapsed="false">
      <c r="A59" s="11"/>
      <c r="B59" s="11"/>
      <c r="C59" s="8"/>
      <c r="D59" s="13"/>
      <c r="E59" s="13"/>
      <c r="F59" s="13"/>
      <c r="G59" s="13"/>
      <c r="H59" s="13"/>
      <c r="I59" s="26"/>
      <c r="J59" s="10"/>
      <c r="K59" s="36"/>
    </row>
    <row r="60" customFormat="false" ht="12.8" hidden="false" customHeight="true" outlineLevel="0" collapsed="false">
      <c r="A60" s="11"/>
      <c r="B60" s="11"/>
      <c r="C60" s="8"/>
      <c r="D60" s="13"/>
      <c r="E60" s="13"/>
      <c r="F60" s="13"/>
      <c r="G60" s="13"/>
      <c r="H60" s="13"/>
      <c r="I60" s="13"/>
      <c r="J60" s="10"/>
      <c r="K60" s="36"/>
    </row>
    <row r="61" customFormat="false" ht="12.8" hidden="false" customHeight="true" outlineLevel="0" collapsed="false">
      <c r="A61" s="11"/>
      <c r="B61" s="11"/>
      <c r="C61" s="8"/>
      <c r="D61" s="13"/>
      <c r="E61" s="13"/>
      <c r="F61" s="13"/>
      <c r="G61" s="13"/>
      <c r="H61" s="13"/>
      <c r="I61" s="13"/>
      <c r="J61" s="19"/>
      <c r="K61" s="37"/>
    </row>
    <row r="62" customFormat="false" ht="12.8" hidden="false" customHeight="true" outlineLevel="0" collapsed="false">
      <c r="A62" s="11"/>
      <c r="B62" s="11"/>
      <c r="C62" s="8"/>
      <c r="D62" s="13"/>
      <c r="E62" s="13"/>
      <c r="F62" s="13"/>
      <c r="G62" s="13"/>
      <c r="H62" s="13"/>
      <c r="I62" s="26"/>
      <c r="J62" s="10"/>
      <c r="K62" s="36"/>
    </row>
    <row r="63" customFormat="false" ht="12.8" hidden="false" customHeight="true" outlineLevel="0" collapsed="false">
      <c r="A63" s="11"/>
      <c r="B63" s="11"/>
      <c r="C63" s="8"/>
      <c r="D63" s="13"/>
      <c r="E63" s="13"/>
      <c r="F63" s="13"/>
      <c r="G63" s="13"/>
      <c r="H63" s="13"/>
      <c r="I63" s="13"/>
      <c r="J63" s="10"/>
      <c r="K63" s="36"/>
    </row>
    <row r="64" customFormat="false" ht="12.8" hidden="false" customHeight="true" outlineLevel="0" collapsed="false">
      <c r="A64" s="11"/>
      <c r="B64" s="11"/>
      <c r="C64" s="8"/>
      <c r="D64" s="13"/>
      <c r="E64" s="13"/>
      <c r="F64" s="13"/>
      <c r="G64" s="13"/>
      <c r="H64" s="13"/>
      <c r="I64" s="13"/>
      <c r="J64" s="10"/>
      <c r="K64" s="36"/>
    </row>
    <row r="65" customFormat="false" ht="12.8" hidden="false" customHeight="true" outlineLevel="0" collapsed="false">
      <c r="A65" s="11"/>
      <c r="B65" s="11"/>
      <c r="C65" s="8"/>
      <c r="D65" s="13"/>
      <c r="E65" s="13"/>
      <c r="F65" s="13"/>
      <c r="G65" s="13"/>
      <c r="H65" s="13"/>
      <c r="I65" s="13"/>
      <c r="J65" s="10"/>
      <c r="K65" s="36"/>
    </row>
    <row r="66" customFormat="false" ht="12.8" hidden="false" customHeight="true" outlineLevel="0" collapsed="false">
      <c r="A66" s="11"/>
      <c r="B66" s="11"/>
      <c r="C66" s="8"/>
      <c r="D66" s="13"/>
      <c r="E66" s="13"/>
      <c r="F66" s="13"/>
      <c r="G66" s="13"/>
      <c r="H66" s="13"/>
      <c r="I66" s="13"/>
      <c r="J66" s="19"/>
      <c r="K66" s="37"/>
    </row>
    <row r="67" customFormat="false" ht="12.8" hidden="false" customHeight="true" outlineLevel="0" collapsed="false">
      <c r="A67" s="11"/>
      <c r="B67" s="11"/>
      <c r="C67" s="8"/>
      <c r="D67" s="13"/>
      <c r="E67" s="13"/>
      <c r="F67" s="13"/>
      <c r="G67" s="13"/>
      <c r="H67" s="13"/>
      <c r="I67" s="13"/>
      <c r="J67" s="10"/>
      <c r="K67" s="36"/>
    </row>
    <row r="68" customFormat="false" ht="12.8" hidden="false" customHeight="true" outlineLevel="0" collapsed="false">
      <c r="A68" s="11"/>
      <c r="B68" s="11"/>
      <c r="C68" s="8"/>
      <c r="D68" s="13"/>
      <c r="E68" s="13"/>
      <c r="F68" s="13"/>
      <c r="G68" s="13"/>
      <c r="H68" s="13"/>
      <c r="I68" s="26"/>
      <c r="J68" s="10"/>
      <c r="K68" s="36"/>
    </row>
    <row r="69" customFormat="false" ht="12.8" hidden="false" customHeight="true" outlineLevel="0" collapsed="false">
      <c r="A69" s="11"/>
      <c r="B69" s="11"/>
      <c r="C69" s="8"/>
      <c r="D69" s="13"/>
      <c r="E69" s="13"/>
      <c r="F69" s="13"/>
      <c r="G69" s="13"/>
      <c r="H69" s="13"/>
      <c r="I69" s="17"/>
      <c r="J69" s="10"/>
      <c r="K69" s="36"/>
    </row>
    <row r="70" customFormat="false" ht="12.8" hidden="false" customHeight="true" outlineLevel="0" collapsed="false">
      <c r="A70" s="11"/>
      <c r="B70" s="11"/>
      <c r="C70" s="8"/>
      <c r="D70" s="13"/>
      <c r="E70" s="13"/>
      <c r="F70" s="13"/>
      <c r="G70" s="13"/>
      <c r="H70" s="13"/>
      <c r="I70" s="13"/>
      <c r="J70" s="10"/>
      <c r="K70" s="36"/>
    </row>
    <row r="71" customFormat="false" ht="12.8" hidden="false" customHeight="true" outlineLevel="0" collapsed="false">
      <c r="A71" s="11"/>
      <c r="B71" s="11"/>
      <c r="C71" s="41"/>
      <c r="D71" s="38"/>
      <c r="E71" s="38"/>
      <c r="F71" s="38"/>
      <c r="G71" s="38"/>
      <c r="H71" s="38"/>
      <c r="I71" s="13"/>
      <c r="J71" s="19"/>
      <c r="K71" s="37"/>
    </row>
    <row r="72" customFormat="false" ht="12.8" hidden="false" customHeight="true" outlineLevel="0" collapsed="false">
      <c r="A72" s="11"/>
      <c r="B72" s="11"/>
      <c r="C72" s="41"/>
      <c r="D72" s="38"/>
      <c r="E72" s="38"/>
      <c r="F72" s="38"/>
      <c r="G72" s="38"/>
      <c r="H72" s="38"/>
      <c r="I72" s="13"/>
      <c r="J72" s="38"/>
      <c r="K72" s="42"/>
    </row>
    <row r="73" customFormat="false" ht="12.8" hidden="false" customHeight="true" outlineLevel="0" collapsed="false">
      <c r="A73" s="11"/>
      <c r="B73" s="11"/>
      <c r="C73" s="41"/>
      <c r="D73" s="38"/>
      <c r="E73" s="38"/>
      <c r="F73" s="38"/>
      <c r="G73" s="38"/>
      <c r="H73" s="38"/>
      <c r="I73" s="13"/>
      <c r="J73" s="38"/>
      <c r="K73" s="42"/>
    </row>
    <row r="74" customFormat="false" ht="12.8" hidden="false" customHeight="true" outlineLevel="0" collapsed="false">
      <c r="A74" s="11"/>
      <c r="B74" s="11"/>
      <c r="C74" s="41"/>
      <c r="D74" s="38"/>
      <c r="E74" s="38"/>
      <c r="F74" s="38"/>
      <c r="G74" s="38"/>
      <c r="H74" s="38"/>
      <c r="I74" s="26"/>
      <c r="J74" s="10"/>
      <c r="K74" s="36"/>
    </row>
    <row r="75" customFormat="false" ht="12.8" hidden="false" customHeight="true" outlineLevel="0" collapsed="false">
      <c r="A75" s="11"/>
      <c r="B75" s="11"/>
      <c r="C75" s="41"/>
      <c r="D75" s="38"/>
      <c r="E75" s="38"/>
      <c r="F75" s="38"/>
      <c r="G75" s="38"/>
      <c r="H75" s="38"/>
      <c r="I75" s="38"/>
      <c r="J75" s="10"/>
      <c r="K75" s="36"/>
    </row>
    <row r="76" customFormat="false" ht="12.8" hidden="false" customHeight="true" outlineLevel="0" collapsed="false">
      <c r="A76" s="11"/>
      <c r="B76" s="11"/>
      <c r="C76" s="41"/>
      <c r="D76" s="38"/>
      <c r="E76" s="38"/>
      <c r="F76" s="38"/>
      <c r="G76" s="38"/>
      <c r="H76" s="38"/>
      <c r="I76" s="38"/>
      <c r="J76" s="10"/>
      <c r="K76" s="36"/>
    </row>
    <row r="77" customFormat="false" ht="12.8" hidden="false" customHeight="true" outlineLevel="0" collapsed="false">
      <c r="A77" s="11"/>
      <c r="B77" s="11"/>
      <c r="C77" s="41"/>
      <c r="D77" s="38"/>
      <c r="E77" s="38"/>
      <c r="F77" s="38"/>
      <c r="G77" s="38"/>
      <c r="H77" s="38"/>
      <c r="I77" s="13"/>
      <c r="J77" s="19"/>
      <c r="K77" s="37"/>
    </row>
    <row r="78" customFormat="false" ht="12.8" hidden="false" customHeight="true" outlineLevel="0" collapsed="false">
      <c r="A78" s="11"/>
      <c r="B78" s="11"/>
      <c r="C78" s="41"/>
      <c r="D78" s="38"/>
      <c r="E78" s="38"/>
      <c r="F78" s="38"/>
      <c r="G78" s="38"/>
      <c r="H78" s="38"/>
      <c r="I78" s="13"/>
      <c r="J78" s="38"/>
      <c r="K78" s="42"/>
    </row>
    <row r="79" customFormat="false" ht="12.8" hidden="false" customHeight="true" outlineLevel="0" collapsed="false">
      <c r="A79" s="11"/>
      <c r="B79" s="11"/>
      <c r="C79" s="41"/>
      <c r="D79" s="38"/>
      <c r="E79" s="38"/>
      <c r="F79" s="38"/>
      <c r="G79" s="38"/>
      <c r="H79" s="38"/>
      <c r="I79" s="26"/>
      <c r="J79" s="10"/>
      <c r="K79" s="36"/>
    </row>
    <row r="80" customFormat="false" ht="12.8" hidden="false" customHeight="true" outlineLevel="0" collapsed="false">
      <c r="A80" s="11"/>
      <c r="B80" s="11"/>
      <c r="C80" s="41"/>
      <c r="D80" s="38"/>
      <c r="E80" s="38"/>
      <c r="F80" s="38"/>
      <c r="G80" s="38"/>
      <c r="H80" s="38"/>
      <c r="I80" s="13"/>
      <c r="J80" s="19"/>
      <c r="K80" s="37"/>
    </row>
    <row r="81" customFormat="false" ht="12.8" hidden="false" customHeight="true" outlineLevel="0" collapsed="false">
      <c r="A81" s="11"/>
      <c r="B81" s="11"/>
      <c r="C81" s="41"/>
      <c r="D81" s="38"/>
      <c r="E81" s="38"/>
      <c r="F81" s="38"/>
      <c r="G81" s="38"/>
      <c r="H81" s="38"/>
      <c r="I81" s="26"/>
      <c r="J81" s="10"/>
      <c r="K81" s="36"/>
    </row>
    <row r="82" customFormat="false" ht="12.8" hidden="false" customHeight="true" outlineLevel="0" collapsed="false">
      <c r="A82" s="11"/>
      <c r="B82" s="11"/>
      <c r="C82" s="43"/>
      <c r="D82" s="38"/>
      <c r="E82" s="38"/>
      <c r="F82" s="38"/>
      <c r="G82" s="38"/>
      <c r="H82" s="38"/>
      <c r="I82" s="13"/>
      <c r="J82" s="19"/>
      <c r="K82" s="37"/>
    </row>
    <row r="83" customFormat="false" ht="12.8" hidden="false" customHeight="true" outlineLevel="0" collapsed="false">
      <c r="A83" s="11"/>
      <c r="B83" s="11"/>
      <c r="C83" s="41"/>
      <c r="D83" s="38"/>
      <c r="E83" s="38"/>
      <c r="F83" s="38"/>
      <c r="G83" s="38"/>
      <c r="H83" s="38"/>
      <c r="I83" s="26"/>
      <c r="J83" s="10"/>
      <c r="K83" s="36"/>
    </row>
    <row r="84" customFormat="false" ht="12.8" hidden="false" customHeight="true" outlineLevel="0" collapsed="false">
      <c r="A84" s="11"/>
      <c r="B84" s="11"/>
      <c r="C84" s="8"/>
      <c r="D84" s="13"/>
      <c r="E84" s="17"/>
      <c r="F84" s="17"/>
      <c r="G84" s="17"/>
      <c r="H84" s="17"/>
      <c r="I84" s="13"/>
      <c r="J84" s="10"/>
      <c r="K84" s="36"/>
    </row>
    <row r="85" customFormat="false" ht="12.8" hidden="false" customHeight="true" outlineLevel="0" collapsed="false">
      <c r="A85" s="11"/>
      <c r="B85" s="11"/>
      <c r="C85" s="8"/>
      <c r="D85" s="13"/>
      <c r="E85" s="13"/>
      <c r="F85" s="13"/>
      <c r="G85" s="13"/>
      <c r="H85" s="13"/>
      <c r="I85" s="13"/>
      <c r="J85" s="19"/>
      <c r="K85" s="37"/>
    </row>
    <row r="86" customFormat="false" ht="12.8" hidden="false" customHeight="true" outlineLevel="0" collapsed="false">
      <c r="A86" s="11"/>
      <c r="B86" s="11"/>
      <c r="C86" s="8"/>
      <c r="D86" s="13"/>
      <c r="E86" s="13"/>
      <c r="F86" s="13"/>
      <c r="G86" s="13"/>
      <c r="H86" s="13"/>
      <c r="I86" s="13"/>
      <c r="J86" s="10"/>
      <c r="K86" s="36"/>
    </row>
    <row r="87" customFormat="false" ht="12.8" hidden="false" customHeight="true" outlineLevel="0" collapsed="false">
      <c r="A87" s="11"/>
      <c r="B87" s="11"/>
      <c r="C87" s="8"/>
      <c r="D87" s="13"/>
      <c r="E87" s="13"/>
      <c r="F87" s="13"/>
      <c r="G87" s="13"/>
      <c r="H87" s="13"/>
      <c r="I87" s="26"/>
      <c r="J87" s="10"/>
      <c r="K87" s="36"/>
    </row>
    <row r="88" customFormat="false" ht="12.8" hidden="false" customHeight="true" outlineLevel="0" collapsed="false">
      <c r="A88" s="11"/>
      <c r="B88" s="11"/>
      <c r="C88" s="8"/>
      <c r="D88" s="13"/>
      <c r="E88" s="13"/>
      <c r="F88" s="13"/>
      <c r="G88" s="13"/>
      <c r="H88" s="13"/>
      <c r="I88" s="13"/>
      <c r="J88" s="19"/>
      <c r="K88" s="37"/>
    </row>
    <row r="89" customFormat="false" ht="12.8" hidden="false" customHeight="true" outlineLevel="0" collapsed="false">
      <c r="A89" s="11"/>
      <c r="B89" s="11"/>
      <c r="C89" s="8"/>
      <c r="D89" s="13"/>
      <c r="E89" s="13"/>
      <c r="F89" s="13"/>
      <c r="G89" s="13"/>
      <c r="H89" s="13"/>
      <c r="I89" s="26"/>
      <c r="J89" s="10"/>
      <c r="K89" s="36"/>
    </row>
    <row r="90" customFormat="false" ht="12.8" hidden="false" customHeight="true" outlineLevel="0" collapsed="false">
      <c r="A90" s="11"/>
      <c r="B90" s="11"/>
      <c r="C90" s="8"/>
      <c r="D90" s="13"/>
      <c r="E90" s="13"/>
      <c r="F90" s="13"/>
      <c r="G90" s="13"/>
      <c r="H90" s="13"/>
      <c r="I90" s="13"/>
      <c r="J90" s="19"/>
      <c r="K90" s="37"/>
    </row>
    <row r="91" customFormat="false" ht="12.8" hidden="false" customHeight="true" outlineLevel="0" collapsed="false">
      <c r="A91" s="11"/>
      <c r="B91" s="11"/>
      <c r="C91" s="8"/>
      <c r="D91" s="13"/>
      <c r="E91" s="13"/>
      <c r="F91" s="13"/>
      <c r="G91" s="13"/>
      <c r="H91" s="13"/>
      <c r="I91" s="26"/>
      <c r="J91" s="10"/>
      <c r="K91" s="36"/>
    </row>
    <row r="92" customFormat="false" ht="12.8" hidden="false" customHeight="true" outlineLevel="0" collapsed="false">
      <c r="A92" s="11"/>
      <c r="B92" s="11"/>
      <c r="C92" s="8"/>
      <c r="D92" s="13"/>
      <c r="E92" s="13"/>
      <c r="F92" s="13"/>
      <c r="G92" s="13"/>
      <c r="H92" s="13"/>
      <c r="I92" s="13"/>
      <c r="J92" s="19"/>
      <c r="K92" s="37"/>
    </row>
    <row r="93" customFormat="false" ht="12.8" hidden="false" customHeight="true" outlineLevel="0" collapsed="false">
      <c r="A93" s="11"/>
      <c r="B93" s="11"/>
      <c r="C93" s="8"/>
      <c r="D93" s="13"/>
      <c r="E93" s="13"/>
      <c r="F93" s="13"/>
      <c r="G93" s="13"/>
      <c r="H93" s="13"/>
      <c r="I93" s="17"/>
      <c r="J93" s="10"/>
      <c r="K93" s="36"/>
    </row>
    <row r="94" customFormat="false" ht="12.8" hidden="false" customHeight="true" outlineLevel="0" collapsed="false">
      <c r="A94" s="11"/>
      <c r="B94" s="11"/>
      <c r="C94" s="13"/>
      <c r="D94" s="13"/>
      <c r="E94" s="13"/>
      <c r="F94" s="13"/>
      <c r="G94" s="13"/>
      <c r="H94" s="13"/>
      <c r="I94" s="13"/>
      <c r="J94" s="19"/>
      <c r="K94" s="37"/>
    </row>
    <row r="95" customFormat="false" ht="12.8" hidden="false" customHeight="true" outlineLevel="0" collapsed="false">
      <c r="A95" s="11"/>
      <c r="B95" s="11"/>
      <c r="C95" s="13"/>
      <c r="D95" s="13"/>
      <c r="E95" s="13"/>
      <c r="F95" s="13"/>
      <c r="G95" s="13"/>
      <c r="H95" s="13"/>
      <c r="I95" s="13"/>
      <c r="J95" s="10"/>
      <c r="K95" s="36"/>
    </row>
    <row r="96" customFormat="false" ht="12.8" hidden="false" customHeight="true" outlineLevel="0" collapsed="false">
      <c r="A96" s="11"/>
      <c r="B96" s="11"/>
      <c r="C96" s="13"/>
      <c r="D96" s="13"/>
      <c r="E96" s="13"/>
      <c r="F96" s="13"/>
      <c r="G96" s="13"/>
      <c r="H96" s="13"/>
      <c r="I96" s="26"/>
      <c r="J96" s="10"/>
      <c r="K96" s="36"/>
    </row>
    <row r="97" customFormat="false" ht="12.8" hidden="false" customHeight="true" outlineLevel="0" collapsed="false">
      <c r="A97" s="11"/>
      <c r="B97" s="11"/>
      <c r="C97" s="13"/>
      <c r="D97" s="13"/>
      <c r="E97" s="13"/>
      <c r="F97" s="13"/>
      <c r="G97" s="13"/>
      <c r="H97" s="13"/>
      <c r="I97" s="13"/>
      <c r="J97" s="19"/>
      <c r="K97" s="37"/>
    </row>
    <row r="98" customFormat="false" ht="12.8" hidden="false" customHeight="true" outlineLevel="0" collapsed="false">
      <c r="A98" s="11"/>
      <c r="B98" s="11"/>
      <c r="C98" s="13"/>
      <c r="D98" s="13"/>
      <c r="E98" s="13"/>
      <c r="F98" s="13"/>
      <c r="G98" s="13"/>
      <c r="H98" s="13"/>
      <c r="I98" s="26"/>
      <c r="J98" s="10"/>
      <c r="K98" s="36"/>
    </row>
    <row r="99" customFormat="false" ht="12.8" hidden="false" customHeight="true" outlineLevel="0" collapsed="false">
      <c r="A99" s="11"/>
      <c r="B99" s="11"/>
      <c r="C99" s="13"/>
      <c r="D99" s="13"/>
      <c r="E99" s="13"/>
      <c r="F99" s="13"/>
      <c r="G99" s="13"/>
      <c r="H99" s="13"/>
      <c r="I99" s="13"/>
      <c r="J99" s="10"/>
      <c r="K99" s="36"/>
    </row>
    <row r="100" customFormat="false" ht="12.8" hidden="false" customHeight="true" outlineLevel="0" collapsed="false">
      <c r="A100" s="11"/>
      <c r="B100" s="11"/>
      <c r="C100" s="13"/>
      <c r="D100" s="13"/>
      <c r="E100" s="13"/>
      <c r="F100" s="13"/>
      <c r="G100" s="13"/>
      <c r="H100" s="13"/>
      <c r="I100" s="13"/>
      <c r="J100" s="10"/>
      <c r="K100" s="36"/>
    </row>
    <row r="101" customFormat="false" ht="12.8" hidden="false" customHeight="true" outlineLevel="0" collapsed="false">
      <c r="A101" s="11"/>
      <c r="B101" s="11"/>
      <c r="C101" s="13"/>
      <c r="D101" s="13"/>
      <c r="E101" s="13"/>
      <c r="F101" s="13"/>
      <c r="G101" s="13"/>
      <c r="H101" s="13"/>
      <c r="I101" s="13"/>
      <c r="J101" s="19"/>
      <c r="K101" s="37"/>
    </row>
    <row r="102" customFormat="false" ht="12.8" hidden="false" customHeight="true" outlineLevel="0" collapsed="false">
      <c r="A102" s="11"/>
      <c r="B102" s="11"/>
      <c r="C102" s="13"/>
      <c r="D102" s="13"/>
      <c r="E102" s="13"/>
      <c r="F102" s="13"/>
      <c r="G102" s="13"/>
      <c r="H102" s="13"/>
      <c r="I102" s="26"/>
      <c r="J102" s="10"/>
      <c r="K102" s="36"/>
    </row>
    <row r="103" customFormat="false" ht="12.8" hidden="false" customHeight="true" outlineLevel="0" collapsed="false">
      <c r="A103" s="11"/>
      <c r="B103" s="11"/>
      <c r="C103" s="13"/>
      <c r="D103" s="13"/>
      <c r="E103" s="13"/>
      <c r="F103" s="13"/>
      <c r="G103" s="13"/>
      <c r="H103" s="13"/>
      <c r="I103" s="13"/>
      <c r="J103" s="19"/>
      <c r="K103" s="37"/>
    </row>
    <row r="104" customFormat="false" ht="12.8" hidden="false" customHeight="true" outlineLevel="0" collapsed="false">
      <c r="A104" s="11"/>
      <c r="B104" s="11"/>
      <c r="C104" s="13"/>
      <c r="D104" s="13"/>
      <c r="E104" s="13"/>
      <c r="F104" s="13"/>
      <c r="G104" s="13"/>
      <c r="H104" s="13"/>
      <c r="I104" s="26"/>
      <c r="J104" s="10"/>
      <c r="K104" s="36"/>
    </row>
    <row r="105" customFormat="false" ht="12.8" hidden="false" customHeight="true" outlineLevel="0" collapsed="false">
      <c r="A105" s="11"/>
      <c r="B105" s="11"/>
      <c r="C105" s="13"/>
      <c r="D105" s="13"/>
      <c r="E105" s="13"/>
      <c r="F105" s="13"/>
      <c r="G105" s="13"/>
      <c r="H105" s="13"/>
      <c r="I105" s="13"/>
      <c r="J105" s="10"/>
      <c r="K105" s="3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2025-10-17T13:52:38Z</dcterms:created>
  <dc:creator/>
  <dc:description/>
  <dc:language>pt-BR</dc:language>
  <cp:lastModifiedBy/>
  <dcterms:modified xsi:type="dcterms:W3CDTF">2026-01-12T15:55:38Z</dcterms:modified>
  <cp:revision>122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