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<sst xmlns="http://schemas.openxmlformats.org/spreadsheetml/2006/main" count="97" uniqueCount="21">
  <si>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</si>
  <si>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</si>
  <si>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</si>
  <si>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</si>
  <si>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</si>
  <si>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Feedback Instrutor</t>
  </si>
  <si>
    <t xml:space="preserve">Nota Instrutor</t>
  </si>
  <si>
    <t xml:space="preserve">Delta Nota EB</t>
  </si>
  <si>
    <t xml:space="preserve">Delta Nota NEB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</si>
  <si>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</si>
  <si>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</si>
  <si>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</si>
  <si>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</si>
  <si>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</si>
  <si>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</si>
  <si>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MB</t>
  </si>
  <si>
    <t xml:space="preserve">E</t>
  </si>
  <si>
    <t xml:space="preserve">controle</t>
  </si>
  <si>
    <t xml:space="preserve">B</t>
  </si>
  <si>
    <t xml:space="preserve">R</t>
  </si>
  <si>
    <t xml:space="preserve">I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</si>
</sst>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#.000"/>
    <numFmt numFmtId="166" formatCode="0.00"/>
    <numFmt numFmtId="167" formatCode="#,##0.00_);\(#,##0.00\)"/>
    <numFmt numFmtId="168" formatCode="0.000"/>
    <numFmt numFmtId="169" formatCode="#,##0.0000"/>
    <numFmt numFmtId="170" formatCode="0.00%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98"/>
    <col collapsed="false" customWidth="true" hidden="false" outlineLevel="0" max="2" min="2" style="1" width="16.15"/>
    <col collapsed="false" customWidth="true" hidden="false" outlineLevel="0" max="4" min="4" style="1" width="13.81"/>
    <col collapsed="false" customWidth="true" hidden="false" outlineLevel="0" max="6" min="6" style="1" width="17.45"/>
    <col collapsed="false" customWidth="true" hidden="false" outlineLevel="0" max="8" min="7" style="1" width="19.19"/>
    <col collapsed="false" customWidth="true" hidden="false" outlineLevel="0" max="9" min="9" style="1" width="18.87"/>
    <col collapsed="false" customWidth="true" hidden="false" outlineLevel="0" max="10" min="10" style="1" width="23.31"/>
    <col collapsed="false" customWidth="true" hidden="false" outlineLevel="0" max="11" min="11" style="1" width="22.1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4" t="s">
        <v>14</v>
      </c>
      <c r="B2" s="5" t="s">
        <v>15</v>
      </c>
      <c r="C2" s="6" t="n">
        <v>8.7</v>
      </c>
      <c r="D2" s="5" t="s">
        <v>16</v>
      </c>
      <c r="E2" s="7" t="n">
        <v>9.75</v>
      </c>
      <c r="F2" s="4"/>
      <c r="G2" s="8"/>
      <c r="H2" s="6" t="n">
        <f aca="false">E2-C2</f>
        <v>1.05</v>
      </c>
      <c r="I2" s="6"/>
      <c r="J2" s="6" t="n">
        <f aca="false">(E2-C2)/(10-C2)</f>
        <v>0.807692307692308</v>
      </c>
      <c r="K2" s="6"/>
      <c r="L2" s="9" t="s">
        <v>14</v>
      </c>
      <c r="M2" s="9" t="n">
        <f aca="false">AVERAGE(J2:J28)</f>
        <v>0.85697291992314</v>
      </c>
      <c r="N2" s="9" t="n">
        <f aca="false">MEDIAN(J2:J28)</f>
        <v>0.929577464788732</v>
      </c>
      <c r="O2" s="9" t="n">
        <f aca="false">STDEV(J2:J28)</f>
        <v>0.139781892097447</v>
      </c>
    </row>
    <row r="3" customFormat="false" ht="12.8" hidden="false" customHeight="false" outlineLevel="0" collapsed="false">
      <c r="A3" s="10" t="s">
        <v>17</v>
      </c>
      <c r="B3" s="11" t="s">
        <v>15</v>
      </c>
      <c r="C3" s="12" t="n">
        <v>8.7</v>
      </c>
      <c r="D3" s="11" t="s">
        <v>15</v>
      </c>
      <c r="E3" s="13" t="n">
        <v>8.7</v>
      </c>
      <c r="F3" s="10"/>
      <c r="G3" s="14"/>
      <c r="H3" s="12"/>
      <c r="I3" s="12" t="n">
        <f aca="false">E3-C3</f>
        <v>0</v>
      </c>
      <c r="J3" s="12"/>
      <c r="K3" s="12" t="n">
        <f aca="false">(E3-C3)/(10-C3)</f>
        <v>0</v>
      </c>
      <c r="L3" s="9"/>
      <c r="M3" s="15"/>
      <c r="N3" s="15"/>
      <c r="O3" s="15"/>
    </row>
    <row r="4" customFormat="false" ht="12.8" hidden="false" customHeight="false" outlineLevel="0" collapsed="false">
      <c r="A4" s="4" t="s">
        <v>14</v>
      </c>
      <c r="B4" s="5" t="s">
        <v>15</v>
      </c>
      <c r="C4" s="6" t="n">
        <v>8.7</v>
      </c>
      <c r="D4" s="5" t="s">
        <v>16</v>
      </c>
      <c r="E4" s="7" t="n">
        <v>9.75</v>
      </c>
      <c r="F4" s="4"/>
      <c r="G4" s="8"/>
      <c r="H4" s="6" t="n">
        <f aca="false">E4-C4</f>
        <v>1.05</v>
      </c>
      <c r="I4" s="6"/>
      <c r="J4" s="6" t="n">
        <f aca="false">(E4-C4)/(10-C4)</f>
        <v>0.807692307692308</v>
      </c>
      <c r="K4" s="6"/>
      <c r="L4" s="9"/>
      <c r="M4" s="15"/>
      <c r="N4" s="15"/>
      <c r="O4" s="15"/>
    </row>
    <row r="5" customFormat="false" ht="12.8" hidden="false" customHeight="false" outlineLevel="0" collapsed="false">
      <c r="A5" s="4" t="s">
        <v>14</v>
      </c>
      <c r="B5" s="5" t="s">
        <v>18</v>
      </c>
      <c r="C5" s="6" t="n">
        <v>6.45</v>
      </c>
      <c r="D5" s="5" t="s">
        <v>16</v>
      </c>
      <c r="E5" s="7" t="n">
        <v>9.75</v>
      </c>
      <c r="F5" s="4"/>
      <c r="G5" s="8"/>
      <c r="H5" s="6" t="n">
        <f aca="false">E5-C5</f>
        <v>3.3</v>
      </c>
      <c r="I5" s="6"/>
      <c r="J5" s="6" t="n">
        <f aca="false">(E5-C5)/(10-C5)</f>
        <v>0.929577464788732</v>
      </c>
      <c r="K5" s="6"/>
      <c r="L5" s="15" t="s">
        <v>17</v>
      </c>
      <c r="M5" s="15" t="n">
        <f aca="false">AVERAGE(K3:K28)</f>
        <v>0.140845070422535</v>
      </c>
      <c r="N5" s="15" t="n">
        <f aca="false">MEDIAN(K3:K28)</f>
        <v>0</v>
      </c>
      <c r="O5" s="15" t="n">
        <f aca="false">STDEV(K3:K28)</f>
        <v>0.279480772295555</v>
      </c>
    </row>
    <row r="6" customFormat="false" ht="12.8" hidden="false" customHeight="false" outlineLevel="0" collapsed="false">
      <c r="A6" s="4" t="s">
        <v>14</v>
      </c>
      <c r="B6" s="5" t="s">
        <v>18</v>
      </c>
      <c r="C6" s="6" t="n">
        <v>6.45</v>
      </c>
      <c r="D6" s="5" t="s">
        <v>16</v>
      </c>
      <c r="E6" s="7" t="n">
        <v>9.75</v>
      </c>
      <c r="F6" s="4"/>
      <c r="G6" s="8"/>
      <c r="H6" s="6" t="n">
        <f aca="false">E6-C6</f>
        <v>3.3</v>
      </c>
      <c r="I6" s="6"/>
      <c r="J6" s="6" t="n">
        <f aca="false">(E6-C6)/(10-C6)</f>
        <v>0.929577464788732</v>
      </c>
      <c r="K6" s="6"/>
      <c r="L6" s="9"/>
      <c r="M6" s="9"/>
      <c r="N6" s="9"/>
      <c r="O6" s="9"/>
    </row>
    <row r="7" customFormat="false" ht="12.8" hidden="false" customHeight="false" outlineLevel="0" collapsed="false">
      <c r="A7" s="4" t="s">
        <v>14</v>
      </c>
      <c r="B7" s="5" t="s">
        <v>18</v>
      </c>
      <c r="C7" s="6" t="n">
        <v>6.45</v>
      </c>
      <c r="D7" s="5" t="s">
        <v>16</v>
      </c>
      <c r="E7" s="7" t="n">
        <v>9.75</v>
      </c>
      <c r="F7" s="4"/>
      <c r="G7" s="8"/>
      <c r="H7" s="6" t="n">
        <f aca="false">E7-C7</f>
        <v>3.3</v>
      </c>
      <c r="I7" s="6"/>
      <c r="J7" s="6" t="n">
        <f aca="false">(E7-C7)/(10-C7)</f>
        <v>0.929577464788732</v>
      </c>
      <c r="K7" s="6"/>
    </row>
    <row r="8" customFormat="false" ht="12.8" hidden="false" customHeight="false" outlineLevel="0" collapsed="false">
      <c r="A8" s="4" t="s">
        <v>14</v>
      </c>
      <c r="B8" s="5" t="s">
        <v>18</v>
      </c>
      <c r="C8" s="6" t="n">
        <v>6.45</v>
      </c>
      <c r="D8" s="5" t="s">
        <v>15</v>
      </c>
      <c r="E8" s="6" t="n">
        <v>8.7</v>
      </c>
      <c r="F8" s="4"/>
      <c r="G8" s="8"/>
      <c r="H8" s="6" t="n">
        <f aca="false">E8-C8</f>
        <v>2.25</v>
      </c>
      <c r="I8" s="6"/>
      <c r="J8" s="6" t="n">
        <f aca="false">(E8-C8)/(10-C8)</f>
        <v>0.633802816901408</v>
      </c>
      <c r="K8" s="6"/>
    </row>
    <row r="9" customFormat="false" ht="12.8" hidden="false" customHeight="false" outlineLevel="0" collapsed="false">
      <c r="A9" s="10" t="s">
        <v>17</v>
      </c>
      <c r="B9" s="11" t="s">
        <v>18</v>
      </c>
      <c r="C9" s="12" t="n">
        <v>6.45</v>
      </c>
      <c r="D9" s="11" t="s">
        <v>15</v>
      </c>
      <c r="E9" s="16" t="n">
        <v>8.7</v>
      </c>
      <c r="F9" s="10"/>
      <c r="G9" s="14"/>
      <c r="H9" s="12"/>
      <c r="I9" s="12" t="n">
        <f aca="false">E9-C9</f>
        <v>2.25</v>
      </c>
      <c r="J9" s="12"/>
      <c r="K9" s="12" t="n">
        <f aca="false">(E9-C9)/(10-C9)</f>
        <v>0.633802816901408</v>
      </c>
    </row>
    <row r="10" customFormat="false" ht="12.8" hidden="false" customHeight="false" outlineLevel="0" collapsed="false">
      <c r="A10" s="4" t="s">
        <v>14</v>
      </c>
      <c r="B10" s="5" t="s">
        <v>18</v>
      </c>
      <c r="C10" s="6" t="n">
        <v>6.45</v>
      </c>
      <c r="D10" s="5" t="s">
        <v>16</v>
      </c>
      <c r="E10" s="7" t="n">
        <v>9.75</v>
      </c>
      <c r="F10" s="4"/>
      <c r="G10" s="8"/>
      <c r="H10" s="6" t="n">
        <f aca="false">E10-C10</f>
        <v>3.3</v>
      </c>
      <c r="I10" s="6"/>
      <c r="J10" s="6" t="n">
        <f aca="false">(E10-C10)/(10-C10)</f>
        <v>0.929577464788732</v>
      </c>
      <c r="K10" s="6"/>
    </row>
    <row r="11" customFormat="false" ht="12.8" hidden="false" customHeight="false" outlineLevel="0" collapsed="false">
      <c r="A11" s="10" t="s">
        <v>17</v>
      </c>
      <c r="B11" s="11" t="s">
        <v>18</v>
      </c>
      <c r="C11" s="12" t="n">
        <v>6.45</v>
      </c>
      <c r="D11" s="11" t="s">
        <v>18</v>
      </c>
      <c r="E11" s="16" t="n">
        <v>6.45</v>
      </c>
      <c r="F11" s="10"/>
      <c r="G11" s="14"/>
      <c r="H11" s="12"/>
      <c r="I11" s="12" t="n">
        <f aca="false">E11-C11</f>
        <v>0</v>
      </c>
      <c r="J11" s="12"/>
      <c r="K11" s="12" t="n">
        <f aca="false">(E11-C11)/(10-C11)</f>
        <v>0</v>
      </c>
    </row>
    <row r="12" customFormat="false" ht="12.8" hidden="false" customHeight="false" outlineLevel="0" collapsed="false">
      <c r="A12" s="4" t="s">
        <v>14</v>
      </c>
      <c r="B12" s="5" t="s">
        <v>18</v>
      </c>
      <c r="C12" s="6" t="n">
        <v>6.45</v>
      </c>
      <c r="D12" s="5" t="s">
        <v>16</v>
      </c>
      <c r="E12" s="7" t="n">
        <v>9.75</v>
      </c>
      <c r="F12" s="4"/>
      <c r="G12" s="8"/>
      <c r="H12" s="6" t="n">
        <f aca="false">E12-C12</f>
        <v>3.3</v>
      </c>
      <c r="I12" s="6"/>
      <c r="J12" s="6" t="n">
        <f aca="false">(E12-C12)/(10-C12)</f>
        <v>0.929577464788732</v>
      </c>
      <c r="K12" s="6"/>
    </row>
    <row r="13" customFormat="false" ht="12.8" hidden="false" customHeight="false" outlineLevel="0" collapsed="false">
      <c r="A13" s="10" t="s">
        <v>17</v>
      </c>
      <c r="B13" s="11" t="s">
        <v>18</v>
      </c>
      <c r="C13" s="12" t="n">
        <v>6.45</v>
      </c>
      <c r="D13" s="11" t="s">
        <v>18</v>
      </c>
      <c r="E13" s="16" t="n">
        <v>6.45</v>
      </c>
      <c r="F13" s="10"/>
      <c r="G13" s="14"/>
      <c r="H13" s="12"/>
      <c r="I13" s="12" t="n">
        <f aca="false">E13-C13</f>
        <v>0</v>
      </c>
      <c r="J13" s="12"/>
      <c r="K13" s="12" t="n">
        <f aca="false">(E13-C13)/(10-C13)</f>
        <v>0</v>
      </c>
    </row>
    <row r="14" customFormat="false" ht="12.8" hidden="false" customHeight="false" outlineLevel="0" collapsed="false">
      <c r="A14" s="4" t="s">
        <v>14</v>
      </c>
      <c r="B14" s="5" t="s">
        <v>18</v>
      </c>
      <c r="C14" s="6" t="n">
        <v>6.45</v>
      </c>
      <c r="D14" s="5" t="s">
        <v>16</v>
      </c>
      <c r="E14" s="7" t="n">
        <v>9.75</v>
      </c>
      <c r="F14" s="4"/>
      <c r="G14" s="17"/>
      <c r="H14" s="6" t="n">
        <f aca="false">E14-C14</f>
        <v>3.3</v>
      </c>
      <c r="I14" s="6"/>
      <c r="J14" s="6" t="n">
        <f aca="false">(E14-C14)/(10-C14)</f>
        <v>0.929577464788732</v>
      </c>
      <c r="K14" s="6"/>
    </row>
    <row r="15" customFormat="false" ht="12.8" hidden="false" customHeight="false" outlineLevel="0" collapsed="false">
      <c r="A15" s="4" t="s">
        <v>14</v>
      </c>
      <c r="B15" s="5" t="s">
        <v>18</v>
      </c>
      <c r="C15" s="6" t="n">
        <v>6.45</v>
      </c>
      <c r="D15" s="5" t="s">
        <v>16</v>
      </c>
      <c r="E15" s="7" t="n">
        <v>9.75</v>
      </c>
      <c r="F15" s="4"/>
      <c r="G15" s="8"/>
      <c r="H15" s="6" t="n">
        <f aca="false">E15-C15</f>
        <v>3.3</v>
      </c>
      <c r="I15" s="6"/>
      <c r="J15" s="6" t="n">
        <f aca="false">(E15-C15)/(10-C15)</f>
        <v>0.929577464788732</v>
      </c>
      <c r="K15" s="6"/>
    </row>
    <row r="16" customFormat="false" ht="12.8" hidden="false" customHeight="false" outlineLevel="0" collapsed="false">
      <c r="A16" s="4" t="s">
        <v>14</v>
      </c>
      <c r="B16" s="5" t="s">
        <v>19</v>
      </c>
      <c r="C16" s="6" t="n">
        <v>3.45</v>
      </c>
      <c r="D16" s="5" t="s">
        <v>18</v>
      </c>
      <c r="E16" s="18" t="n">
        <v>6.45</v>
      </c>
      <c r="F16" s="4"/>
      <c r="G16" s="8"/>
      <c r="H16" s="6" t="n">
        <f aca="false">E16-C16</f>
        <v>3</v>
      </c>
      <c r="I16" s="6"/>
      <c r="J16" s="6" t="n">
        <f aca="false">(E16-C16)/(10-C16)</f>
        <v>0.458015267175573</v>
      </c>
      <c r="K16" s="6"/>
    </row>
    <row r="17" customFormat="false" ht="12.8" hidden="false" customHeight="false" outlineLevel="0" collapsed="false">
      <c r="A17" s="4" t="s">
        <v>14</v>
      </c>
      <c r="B17" s="5" t="s">
        <v>18</v>
      </c>
      <c r="C17" s="6" t="n">
        <v>6.45</v>
      </c>
      <c r="D17" s="5" t="s">
        <v>16</v>
      </c>
      <c r="E17" s="7" t="n">
        <v>9.75</v>
      </c>
      <c r="F17" s="4"/>
      <c r="G17" s="8"/>
      <c r="H17" s="6" t="n">
        <f aca="false">E17-C17</f>
        <v>3.3</v>
      </c>
      <c r="I17" s="6"/>
      <c r="J17" s="6" t="n">
        <f aca="false">(E17-C17)/(10-C17)</f>
        <v>0.929577464788732</v>
      </c>
      <c r="K17" s="6"/>
    </row>
    <row r="18" customFormat="false" ht="12.8" hidden="false" customHeight="false" outlineLevel="0" collapsed="false">
      <c r="A18" s="4" t="s">
        <v>14</v>
      </c>
      <c r="B18" s="5" t="s">
        <v>18</v>
      </c>
      <c r="C18" s="6" t="n">
        <v>6.45</v>
      </c>
      <c r="D18" s="5" t="s">
        <v>16</v>
      </c>
      <c r="E18" s="7" t="n">
        <v>9.75</v>
      </c>
      <c r="F18" s="4"/>
      <c r="G18" s="8"/>
      <c r="H18" s="6" t="n">
        <f aca="false">E18-C18</f>
        <v>3.3</v>
      </c>
      <c r="I18" s="6"/>
      <c r="J18" s="6" t="n">
        <f aca="false">(E18-C18)/(10-C18)</f>
        <v>0.929577464788732</v>
      </c>
      <c r="K18" s="6"/>
    </row>
    <row r="19" customFormat="false" ht="12.8" hidden="false" customHeight="false" outlineLevel="0" collapsed="false">
      <c r="A19" s="4" t="s">
        <v>14</v>
      </c>
      <c r="B19" s="5" t="s">
        <v>18</v>
      </c>
      <c r="C19" s="6" t="n">
        <v>6.45</v>
      </c>
      <c r="D19" s="5" t="s">
        <v>16</v>
      </c>
      <c r="E19" s="7" t="n">
        <v>9.75</v>
      </c>
      <c r="F19" s="4"/>
      <c r="G19" s="8"/>
      <c r="H19" s="6" t="n">
        <f aca="false">E19-C19</f>
        <v>3.3</v>
      </c>
      <c r="I19" s="6"/>
      <c r="J19" s="6" t="n">
        <f aca="false">(E19-C19)/(10-C19)</f>
        <v>0.929577464788732</v>
      </c>
      <c r="K19" s="6"/>
    </row>
    <row r="20" customFormat="false" ht="12.8" hidden="false" customHeight="false" outlineLevel="0" collapsed="false">
      <c r="A20" s="10" t="s">
        <v>17</v>
      </c>
      <c r="B20" s="11" t="s">
        <v>18</v>
      </c>
      <c r="C20" s="12" t="n">
        <v>6.45</v>
      </c>
      <c r="D20" s="11" t="s">
        <v>15</v>
      </c>
      <c r="E20" s="16" t="n">
        <v>8.7</v>
      </c>
      <c r="F20" s="10"/>
      <c r="G20" s="14"/>
      <c r="H20" s="12"/>
      <c r="I20" s="12" t="n">
        <f aca="false">E20-C20</f>
        <v>2.25</v>
      </c>
      <c r="J20" s="12"/>
      <c r="K20" s="12" t="n">
        <f aca="false">(E20-C20)/(10-C20)</f>
        <v>0.633802816901408</v>
      </c>
    </row>
    <row r="21" customFormat="false" ht="12.8" hidden="false" customHeight="false" outlineLevel="0" collapsed="false">
      <c r="A21" s="4" t="s">
        <v>14</v>
      </c>
      <c r="B21" s="5" t="s">
        <v>18</v>
      </c>
      <c r="C21" s="6" t="n">
        <v>6.45</v>
      </c>
      <c r="D21" s="5" t="s">
        <v>16</v>
      </c>
      <c r="E21" s="7" t="n">
        <v>9.75</v>
      </c>
      <c r="F21" s="4"/>
      <c r="G21" s="8"/>
      <c r="H21" s="6" t="n">
        <f aca="false">E21-C21</f>
        <v>3.3</v>
      </c>
      <c r="I21" s="6"/>
      <c r="J21" s="6" t="n">
        <f aca="false">(E21-C21)/(10-C21)</f>
        <v>0.929577464788732</v>
      </c>
      <c r="K21" s="6"/>
    </row>
    <row r="22" customFormat="false" ht="12.8" hidden="false" customHeight="false" outlineLevel="0" collapsed="false">
      <c r="A22" s="4" t="s">
        <v>14</v>
      </c>
      <c r="B22" s="5" t="s">
        <v>18</v>
      </c>
      <c r="C22" s="6" t="n">
        <v>6.45</v>
      </c>
      <c r="D22" s="5" t="s">
        <v>16</v>
      </c>
      <c r="E22" s="7" t="n">
        <v>9.75</v>
      </c>
      <c r="F22" s="4"/>
      <c r="G22" s="8"/>
      <c r="H22" s="6" t="n">
        <f aca="false">E22-C22</f>
        <v>3.3</v>
      </c>
      <c r="I22" s="6"/>
      <c r="J22" s="6" t="n">
        <f aca="false">(E22-C22)/(10-C22)</f>
        <v>0.929577464788732</v>
      </c>
      <c r="K22" s="6"/>
    </row>
    <row r="23" customFormat="false" ht="12.8" hidden="false" customHeight="false" outlineLevel="0" collapsed="false">
      <c r="A23" s="4" t="s">
        <v>14</v>
      </c>
      <c r="B23" s="5" t="s">
        <v>18</v>
      </c>
      <c r="C23" s="6" t="n">
        <v>6.45</v>
      </c>
      <c r="D23" s="5" t="s">
        <v>16</v>
      </c>
      <c r="E23" s="7" t="n">
        <v>9.75</v>
      </c>
      <c r="F23" s="4"/>
      <c r="G23" s="8"/>
      <c r="H23" s="6" t="n">
        <f aca="false">E23-C23</f>
        <v>3.3</v>
      </c>
      <c r="I23" s="6"/>
      <c r="J23" s="6" t="n">
        <f aca="false">(E23-C23)/(10-C23)</f>
        <v>0.929577464788732</v>
      </c>
      <c r="K23" s="6"/>
    </row>
    <row r="24" customFormat="false" ht="12.8" hidden="false" customHeight="false" outlineLevel="0" collapsed="false">
      <c r="A24" s="4" t="s">
        <v>14</v>
      </c>
      <c r="B24" s="5" t="s">
        <v>18</v>
      </c>
      <c r="C24" s="6" t="n">
        <v>6.45</v>
      </c>
      <c r="D24" s="5" t="s">
        <v>15</v>
      </c>
      <c r="E24" s="18" t="n">
        <v>8.7</v>
      </c>
      <c r="F24" s="4"/>
      <c r="G24" s="8"/>
      <c r="H24" s="6" t="n">
        <f aca="false">E24-C24</f>
        <v>2.25</v>
      </c>
      <c r="I24" s="6"/>
      <c r="J24" s="6" t="n">
        <f aca="false">(E24-C24)/(10-C24)</f>
        <v>0.633802816901408</v>
      </c>
      <c r="K24" s="6"/>
    </row>
    <row r="25" customFormat="false" ht="12.8" hidden="false" customHeight="false" outlineLevel="0" collapsed="false">
      <c r="A25" s="10" t="s">
        <v>17</v>
      </c>
      <c r="B25" s="11" t="s">
        <v>19</v>
      </c>
      <c r="C25" s="12" t="n">
        <v>3.45</v>
      </c>
      <c r="D25" s="11" t="s">
        <v>19</v>
      </c>
      <c r="E25" s="12" t="n">
        <v>3.45</v>
      </c>
      <c r="F25" s="10"/>
      <c r="G25" s="14"/>
      <c r="H25" s="12"/>
      <c r="I25" s="12"/>
      <c r="J25" s="12"/>
      <c r="K25" s="12" t="n">
        <f aca="false">(E25-C25)/(10-C25)</f>
        <v>0</v>
      </c>
    </row>
    <row r="26" customFormat="false" ht="12.8" hidden="false" customHeight="false" outlineLevel="0" collapsed="false">
      <c r="A26" s="10" t="s">
        <v>17</v>
      </c>
      <c r="B26" s="11" t="s">
        <v>19</v>
      </c>
      <c r="C26" s="12" t="n">
        <v>3.45</v>
      </c>
      <c r="D26" s="11" t="s">
        <v>19</v>
      </c>
      <c r="E26" s="12" t="n">
        <v>3.45</v>
      </c>
      <c r="F26" s="10"/>
      <c r="G26" s="14"/>
      <c r="H26" s="12"/>
      <c r="I26" s="12"/>
      <c r="J26" s="12"/>
      <c r="K26" s="12" t="n">
        <f aca="false">(E26-C26)/(10-C26)</f>
        <v>0</v>
      </c>
    </row>
    <row r="27" customFormat="false" ht="12.8" hidden="false" customHeight="false" outlineLevel="0" collapsed="false">
      <c r="A27" s="10" t="s">
        <v>17</v>
      </c>
      <c r="B27" s="11" t="s">
        <v>19</v>
      </c>
      <c r="C27" s="12" t="n">
        <v>3.45</v>
      </c>
      <c r="D27" s="11" t="s">
        <v>19</v>
      </c>
      <c r="E27" s="12" t="n">
        <v>3.45</v>
      </c>
      <c r="F27" s="10"/>
      <c r="G27" s="14"/>
      <c r="H27" s="12"/>
      <c r="I27" s="12"/>
      <c r="J27" s="12"/>
      <c r="K27" s="12" t="n">
        <f aca="false">(E27-C27)/(10-C27)</f>
        <v>0</v>
      </c>
    </row>
    <row r="28" customFormat="false" ht="12.8" hidden="false" customHeight="false" outlineLevel="0" collapsed="false">
      <c r="A28" s="10" t="s">
        <v>17</v>
      </c>
      <c r="B28" s="11" t="s">
        <v>20</v>
      </c>
      <c r="C28" s="12" t="n">
        <v>0.95</v>
      </c>
      <c r="D28" s="11" t="s">
        <v>20</v>
      </c>
      <c r="E28" s="16" t="n">
        <v>0.95</v>
      </c>
      <c r="F28" s="10"/>
      <c r="G28" s="14"/>
      <c r="H28" s="12"/>
      <c r="I28" s="12" t="n">
        <f aca="false">E28-C28</f>
        <v>0</v>
      </c>
      <c r="J28" s="12"/>
      <c r="K28" s="12" t="n">
        <f aca="false">(E28-C28)/(10-C28)</f>
        <v>0</v>
      </c>
    </row>
    <row r="31" customFormat="false" ht="12.8" hidden="false" customHeight="true" outlineLevel="0" collapsed="false">
      <c r="C31" s="19"/>
    </row>
    <row r="32" customFormat="false" ht="12.8" hidden="false" customHeight="true" outlineLevel="0" collapsed="false">
      <c r="C32" s="19"/>
      <c r="D32" s="2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1136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2026-01-12T15:51:19Z</dcterms:modified>
  <cp:revision>196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