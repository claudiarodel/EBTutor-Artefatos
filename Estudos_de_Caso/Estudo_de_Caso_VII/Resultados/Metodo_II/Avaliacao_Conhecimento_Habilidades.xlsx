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<sst xmlns="http://schemas.openxmlformats.org/spreadsheetml/2006/main" count="34" uniqueCount="14">
  <si>
    <t xml:space="preserve">Grupo</t>
  </si>
  <si>
    <t xml:space="preserve">Q – 1ª Tentativa</t>
  </si>
  <si>
    <t xml:space="preserve">Q- 2º Tentativa</t>
  </si>
  <si>
    <t xml:space="preserve">Variação Das Notas</t>
  </si>
  <si>
    <t xml:space="preserve">Número De Tentativas Feitas</t>
  </si>
  <si>
    <t xml:space="preserve">Q- º Tentativa</t>
  </si>
  <si>
    <t xml:space="preserve">Q- 4º Tentativa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</si>
  <si>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</si>
  <si>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</si>
  <si>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</si>
  <si>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</si>
  <si>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DP</t>
  </si>
  <si>
    <t xml:space="preserve">intervencao</t>
  </si>
  <si>
    <t xml:space="preserve">controle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</si>
</sst>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0.88"/>
    <col collapsed="false" customWidth="true" hidden="false" outlineLevel="0" max="6" min="2" style="1" width="11.5"/>
    <col collapsed="false" customWidth="true" hidden="false" outlineLevel="0" max="7" min="7" style="1" width="22.5"/>
    <col collapsed="false" customWidth="true" hidden="false" outlineLevel="0" max="8" min="8" style="1" width="24.13"/>
    <col collapsed="false" customWidth="true" hidden="false" outlineLevel="0" max="9" min="9" style="1" width="25.63"/>
    <col collapsed="false" customWidth="true" hidden="false" outlineLevel="0" max="24" min="10" style="1" width="11.5"/>
    <col collapsed="false" customWidth="true" hidden="false" outlineLevel="0" max="16384" min="16383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/>
      <c r="K1" s="5" t="s">
        <v>9</v>
      </c>
      <c r="L1" s="5" t="s">
        <v>10</v>
      </c>
      <c r="M1" s="5" t="s">
        <v>11</v>
      </c>
    </row>
    <row r="2" customFormat="false" ht="12.75" hidden="false" customHeight="true" outlineLevel="0" collapsed="false">
      <c r="A2" s="6" t="s">
        <v>12</v>
      </c>
      <c r="B2" s="7" t="n">
        <v>4</v>
      </c>
      <c r="C2" s="7" t="n">
        <v>8</v>
      </c>
      <c r="D2" s="7"/>
      <c r="E2" s="7" t="n">
        <v>3</v>
      </c>
      <c r="F2" s="7" t="n">
        <v>10</v>
      </c>
      <c r="G2" s="7"/>
      <c r="H2" s="7" t="n">
        <f aca="false">IF($D2=1, 0, (MAX($G2,$F2,$C2,$B2)-$B2)/($E2-1))</f>
        <v>3</v>
      </c>
      <c r="I2" s="7"/>
      <c r="J2" s="5" t="s">
        <v>12</v>
      </c>
      <c r="K2" s="5" t="n">
        <v>3.22222222222222</v>
      </c>
      <c r="L2" s="5" t="n">
        <v>4</v>
      </c>
      <c r="M2" s="5" t="n">
        <v>1.71593835683117</v>
      </c>
    </row>
    <row r="3" customFormat="false" ht="12.75" hidden="false" customHeight="true" outlineLevel="0" collapsed="false">
      <c r="A3" s="6" t="s">
        <v>12</v>
      </c>
      <c r="B3" s="7" t="n">
        <v>6</v>
      </c>
      <c r="C3" s="7" t="n">
        <v>6</v>
      </c>
      <c r="D3" s="7"/>
      <c r="E3" s="7" t="n">
        <v>3</v>
      </c>
      <c r="F3" s="7" t="n">
        <v>10</v>
      </c>
      <c r="G3" s="7"/>
      <c r="H3" s="7" t="n">
        <f aca="false">IF($D3=1, 0, (MAX($G3,$F3,$C3,$B3)-$B3)/($E3-1))</f>
        <v>2</v>
      </c>
      <c r="I3" s="7"/>
      <c r="J3" s="8"/>
      <c r="K3" s="8"/>
      <c r="L3" s="5"/>
      <c r="M3" s="5"/>
    </row>
    <row r="4" customFormat="false" ht="12.75" hidden="false" customHeight="true" outlineLevel="0" collapsed="false">
      <c r="A4" s="9" t="s">
        <v>13</v>
      </c>
      <c r="B4" s="10" t="n">
        <v>4</v>
      </c>
      <c r="C4" s="10" t="n">
        <v>10</v>
      </c>
      <c r="D4" s="10"/>
      <c r="E4" s="10" t="n">
        <v>2</v>
      </c>
      <c r="F4" s="10"/>
      <c r="G4" s="10"/>
      <c r="H4" s="10"/>
      <c r="I4" s="10" t="n">
        <f aca="false">IF($D4=1, 0, (MAX($G4,$F4,$C4,$B4)-$B4)/($E4-1))</f>
        <v>6</v>
      </c>
      <c r="J4" s="8" t="s">
        <v>13</v>
      </c>
      <c r="K4" s="5" t="n">
        <f aca="false">AVERAGE(I2:I21)</f>
        <v>1.80952381</v>
      </c>
      <c r="L4" s="5" t="n">
        <f aca="false">MEDIAN(I2:I21)</f>
        <v>0.6666666667</v>
      </c>
      <c r="M4" s="5" t="n">
        <f aca="false">STDEV(I2:I21)</f>
        <v>2.363747361</v>
      </c>
    </row>
    <row r="5" customFormat="false" ht="12.75" hidden="false" customHeight="true" outlineLevel="0" collapsed="false">
      <c r="A5" s="9" t="s">
        <v>13</v>
      </c>
      <c r="B5" s="10" t="n">
        <v>8</v>
      </c>
      <c r="C5" s="10" t="n">
        <v>8</v>
      </c>
      <c r="D5" s="10"/>
      <c r="E5" s="10" t="n">
        <v>2</v>
      </c>
      <c r="F5" s="10"/>
      <c r="G5" s="10"/>
      <c r="H5" s="11"/>
      <c r="I5" s="10" t="n">
        <f aca="false">IF($D5=1, 0, (MAX($G5,$F5,$C5,$B5)-$B5)/($E5-1))</f>
        <v>0</v>
      </c>
      <c r="J5" s="12"/>
      <c r="K5" s="13"/>
      <c r="L5" s="13"/>
      <c r="M5" s="13"/>
    </row>
    <row r="6" customFormat="false" ht="12.75" hidden="false" customHeight="true" outlineLevel="0" collapsed="false">
      <c r="A6" s="6" t="s">
        <v>12</v>
      </c>
      <c r="B6" s="7" t="n">
        <v>6</v>
      </c>
      <c r="C6" s="7" t="n">
        <v>10</v>
      </c>
      <c r="D6" s="7"/>
      <c r="E6" s="7" t="n">
        <v>2</v>
      </c>
      <c r="F6" s="7"/>
      <c r="G6" s="7"/>
      <c r="H6" s="7" t="n">
        <f aca="false">IF($D6=1, 0, (MAX($G6,$F6,$C6,$B6)-$B6)/($E6-1))</f>
        <v>4</v>
      </c>
      <c r="I6" s="7"/>
      <c r="J6" s="12"/>
      <c r="K6" s="13"/>
      <c r="L6" s="13"/>
      <c r="M6" s="13"/>
    </row>
    <row r="7" customFormat="false" ht="12.75" hidden="false" customHeight="true" outlineLevel="0" collapsed="false">
      <c r="A7" s="9" t="s">
        <v>13</v>
      </c>
      <c r="B7" s="10" t="n">
        <v>8</v>
      </c>
      <c r="C7" s="10" t="n">
        <v>8</v>
      </c>
      <c r="D7" s="10"/>
      <c r="E7" s="10" t="n">
        <v>4</v>
      </c>
      <c r="F7" s="10" t="n">
        <v>6</v>
      </c>
      <c r="G7" s="10" t="n">
        <v>8</v>
      </c>
      <c r="H7" s="14"/>
      <c r="I7" s="10" t="n">
        <f aca="false">IF($D7=1, 0, (MAX($G7,$F7,$C7,$B7)-$B7)/($E7-1))</f>
        <v>0</v>
      </c>
      <c r="J7" s="12"/>
      <c r="K7" s="13"/>
      <c r="L7" s="13"/>
      <c r="M7" s="13"/>
    </row>
    <row r="8" customFormat="false" ht="12.75" hidden="false" customHeight="true" outlineLevel="0" collapsed="false">
      <c r="A8" s="6" t="s">
        <v>12</v>
      </c>
      <c r="B8" s="7" t="n">
        <v>6</v>
      </c>
      <c r="C8" s="7" t="n">
        <v>8</v>
      </c>
      <c r="D8" s="7"/>
      <c r="E8" s="7" t="n">
        <v>3</v>
      </c>
      <c r="F8" s="7" t="n">
        <v>10</v>
      </c>
      <c r="G8" s="7"/>
      <c r="H8" s="7" t="n">
        <f aca="false">IF($D8=1, 0, (MAX($G8,$F8,$C8,$B8)-$B8)/($E8-1))</f>
        <v>2</v>
      </c>
      <c r="I8" s="7"/>
      <c r="J8" s="12"/>
      <c r="K8" s="13"/>
      <c r="L8" s="13"/>
      <c r="M8" s="13"/>
    </row>
    <row r="9" customFormat="false" ht="12.75" hidden="false" customHeight="true" outlineLevel="0" collapsed="false">
      <c r="A9" s="6" t="s">
        <v>12</v>
      </c>
      <c r="B9" s="7" t="n">
        <v>6</v>
      </c>
      <c r="C9" s="7" t="n">
        <v>6</v>
      </c>
      <c r="D9" s="7"/>
      <c r="E9" s="7" t="n">
        <v>3</v>
      </c>
      <c r="F9" s="7" t="n">
        <v>10</v>
      </c>
      <c r="G9" s="7"/>
      <c r="H9" s="7" t="n">
        <f aca="false">IF($D9=1, 0, (MAX($G9,$F9,$C9,$B9)-$B9)/($E9-1))</f>
        <v>2</v>
      </c>
      <c r="I9" s="7"/>
      <c r="J9" s="12"/>
      <c r="K9" s="13"/>
      <c r="L9" s="13"/>
      <c r="M9" s="13"/>
    </row>
    <row r="10" customFormat="false" ht="12.75" hidden="false" customHeight="true" outlineLevel="0" collapsed="false">
      <c r="A10" s="6" t="s">
        <v>12</v>
      </c>
      <c r="B10" s="7" t="n">
        <v>4</v>
      </c>
      <c r="C10" s="7" t="n">
        <v>8</v>
      </c>
      <c r="D10" s="7"/>
      <c r="E10" s="7" t="n">
        <v>2</v>
      </c>
      <c r="F10" s="7"/>
      <c r="G10" s="7"/>
      <c r="H10" s="7" t="n">
        <f aca="false">IF($D10=1, 0, (MAX($G10,$F10,$C10,$B10)-$B10)/($E10-1))</f>
        <v>4</v>
      </c>
      <c r="I10" s="7"/>
      <c r="J10" s="12"/>
      <c r="K10" s="13"/>
      <c r="L10" s="13"/>
      <c r="M10" s="13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customFormat="false" ht="12.75" hidden="false" customHeight="true" outlineLevel="0" collapsed="false">
      <c r="A11" s="6" t="s">
        <v>12</v>
      </c>
      <c r="B11" s="7" t="n">
        <v>6</v>
      </c>
      <c r="C11" s="7" t="n">
        <v>8</v>
      </c>
      <c r="D11" s="7"/>
      <c r="E11" s="7" t="n">
        <v>2</v>
      </c>
      <c r="F11" s="7"/>
      <c r="G11" s="16"/>
      <c r="H11" s="7" t="n">
        <f aca="false">IF($D11=1, 0, (MAX($G11,$F11,$C11,$B11)-$B11)/($E11-1))</f>
        <v>2</v>
      </c>
      <c r="I11" s="16"/>
      <c r="J11" s="12"/>
      <c r="K11" s="13"/>
      <c r="L11" s="13"/>
      <c r="M11" s="13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customFormat="false" ht="12.75" hidden="false" customHeight="true" outlineLevel="0" collapsed="false">
      <c r="A12" s="6" t="s">
        <v>12</v>
      </c>
      <c r="B12" s="7" t="n">
        <v>8</v>
      </c>
      <c r="C12" s="7" t="n">
        <v>10</v>
      </c>
      <c r="D12" s="7"/>
      <c r="E12" s="7" t="n">
        <v>2</v>
      </c>
      <c r="F12" s="7"/>
      <c r="G12" s="7"/>
      <c r="H12" s="7" t="n">
        <f aca="false">IF($D12=1, 0, (MAX($G12,$F12,$C12,$B12)-$B12)/($E12-1))</f>
        <v>2</v>
      </c>
      <c r="I12" s="7"/>
      <c r="J12" s="12"/>
      <c r="K12" s="17"/>
      <c r="L12" s="17"/>
      <c r="M12" s="17"/>
      <c r="N12" s="15"/>
      <c r="O12" s="15"/>
      <c r="P12" s="15"/>
      <c r="Q12" s="15"/>
      <c r="R12" s="15"/>
      <c r="S12" s="15"/>
      <c r="T12" s="15"/>
      <c r="U12" s="15"/>
    </row>
    <row r="13" customFormat="false" ht="12.75" hidden="false" customHeight="true" outlineLevel="0" collapsed="false">
      <c r="A13" s="6" t="s">
        <v>12</v>
      </c>
      <c r="B13" s="7" t="n">
        <v>4</v>
      </c>
      <c r="C13" s="7" t="n">
        <v>6</v>
      </c>
      <c r="D13" s="7"/>
      <c r="E13" s="7" t="n">
        <v>3</v>
      </c>
      <c r="F13" s="7" t="n">
        <v>10</v>
      </c>
      <c r="G13" s="7"/>
      <c r="H13" s="7" t="n">
        <f aca="false">IF($D13=1, 0, (MAX($G13,$F13,$C13,$B13)-$B13)/($E13-1))</f>
        <v>3</v>
      </c>
      <c r="I13" s="7"/>
      <c r="J13" s="12"/>
      <c r="K13" s="12"/>
      <c r="L13" s="12"/>
      <c r="M13" s="1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customFormat="false" ht="12.75" hidden="false" customHeight="true" outlineLevel="0" collapsed="false">
      <c r="A14" s="6" t="s">
        <v>12</v>
      </c>
      <c r="B14" s="7" t="n">
        <v>6</v>
      </c>
      <c r="C14" s="7" t="n">
        <v>10</v>
      </c>
      <c r="D14" s="7"/>
      <c r="E14" s="7" t="n">
        <v>2</v>
      </c>
      <c r="F14" s="7"/>
      <c r="G14" s="7"/>
      <c r="H14" s="7" t="n">
        <f aca="false">IF($D14=1, 0, (MAX($G14,$F14,$C14,$B14)-$B14)/($E14-1))</f>
        <v>4</v>
      </c>
      <c r="I14" s="7"/>
      <c r="J14" s="12"/>
      <c r="K14" s="12"/>
      <c r="L14" s="12"/>
      <c r="M14" s="17"/>
    </row>
    <row r="15" customFormat="false" ht="12.75" hidden="false" customHeight="true" outlineLevel="0" collapsed="false">
      <c r="A15" s="6" t="s">
        <v>12</v>
      </c>
      <c r="B15" s="7" t="n">
        <v>6</v>
      </c>
      <c r="C15" s="7" t="n">
        <v>10</v>
      </c>
      <c r="D15" s="7"/>
      <c r="E15" s="7" t="n">
        <v>2</v>
      </c>
      <c r="F15" s="7"/>
      <c r="G15" s="7"/>
      <c r="H15" s="7" t="n">
        <f aca="false">IF($D15=1, 0, (MAX($G15,$F15,$C15,$B15)-$B15)/($E15-1))</f>
        <v>4</v>
      </c>
      <c r="I15" s="7"/>
      <c r="J15" s="12"/>
      <c r="K15" s="12"/>
      <c r="L15" s="12"/>
      <c r="M15" s="17"/>
    </row>
    <row r="16" customFormat="false" ht="12.75" hidden="false" customHeight="true" outlineLevel="0" collapsed="false">
      <c r="A16" s="6" t="s">
        <v>12</v>
      </c>
      <c r="B16" s="7" t="n">
        <v>4</v>
      </c>
      <c r="C16" s="7" t="n">
        <v>8</v>
      </c>
      <c r="D16" s="7"/>
      <c r="E16" s="7" t="n">
        <v>3</v>
      </c>
      <c r="F16" s="7" t="n">
        <v>10</v>
      </c>
      <c r="G16" s="7"/>
      <c r="H16" s="7" t="n">
        <f aca="false">IF($D16=1, 0, (MAX($G16,$F16,$C16,$B16)-$B16)/($E16-1))</f>
        <v>3</v>
      </c>
      <c r="I16" s="7"/>
      <c r="J16" s="12"/>
      <c r="K16" s="12"/>
      <c r="L16" s="12"/>
      <c r="M16" s="17"/>
    </row>
    <row r="17" customFormat="false" ht="12.75" hidden="false" customHeight="true" outlineLevel="0" collapsed="false">
      <c r="A17" s="9" t="s">
        <v>13</v>
      </c>
      <c r="B17" s="10" t="n">
        <v>4</v>
      </c>
      <c r="C17" s="10" t="n">
        <v>8</v>
      </c>
      <c r="D17" s="10"/>
      <c r="E17" s="10" t="n">
        <v>2</v>
      </c>
      <c r="F17" s="10"/>
      <c r="G17" s="10"/>
      <c r="H17" s="10"/>
      <c r="I17" s="10" t="n">
        <f aca="false">IF($D17=1, 0, (MAX($G17,$F17,$C17,$B17)-$B17)/($E17-1))</f>
        <v>4</v>
      </c>
      <c r="J17" s="12"/>
      <c r="K17" s="12"/>
      <c r="L17" s="12"/>
      <c r="M17" s="17"/>
    </row>
    <row r="18" customFormat="false" ht="12.75" hidden="false" customHeight="true" outlineLevel="0" collapsed="false">
      <c r="A18" s="9" t="s">
        <v>13</v>
      </c>
      <c r="B18" s="10" t="n">
        <v>8</v>
      </c>
      <c r="C18" s="10" t="n">
        <v>8</v>
      </c>
      <c r="D18" s="10"/>
      <c r="E18" s="10" t="n">
        <v>3</v>
      </c>
      <c r="F18" s="10" t="n">
        <v>8</v>
      </c>
      <c r="G18" s="10"/>
      <c r="H18" s="11"/>
      <c r="I18" s="10" t="n">
        <f aca="false">IF($D18=1, 0, (MAX($G18,$F18,$C18,$B18)-$B18)/($E18-1))</f>
        <v>0</v>
      </c>
      <c r="J18" s="12"/>
      <c r="K18" s="12"/>
      <c r="L18" s="12"/>
      <c r="M18" s="17"/>
    </row>
    <row r="19" customFormat="false" ht="12.75" hidden="false" customHeight="true" outlineLevel="0" collapsed="false">
      <c r="A19" s="6" t="s">
        <v>12</v>
      </c>
      <c r="B19" s="7" t="n">
        <v>8</v>
      </c>
      <c r="C19" s="7" t="n">
        <v>8</v>
      </c>
      <c r="D19" s="7"/>
      <c r="E19" s="7" t="n">
        <v>4</v>
      </c>
      <c r="F19" s="7" t="n">
        <v>8</v>
      </c>
      <c r="G19" s="7" t="n">
        <v>10</v>
      </c>
      <c r="H19" s="7" t="n">
        <f aca="false">IF($D19=1, 0, (MAX($G19,$F19,$C19,$B19)-$B19)/($E19-1))</f>
        <v>0.6666666667</v>
      </c>
      <c r="I19" s="18"/>
      <c r="J19" s="13"/>
      <c r="K19" s="17"/>
      <c r="L19" s="17"/>
      <c r="M19" s="17"/>
    </row>
    <row r="20" customFormat="false" ht="12.75" hidden="false" customHeight="true" outlineLevel="0" collapsed="false">
      <c r="A20" s="9" t="s">
        <v>13</v>
      </c>
      <c r="B20" s="10" t="n">
        <v>4</v>
      </c>
      <c r="C20" s="10" t="n">
        <v>4</v>
      </c>
      <c r="D20" s="10"/>
      <c r="E20" s="19" t="n">
        <v>4</v>
      </c>
      <c r="F20" s="10" t="n">
        <v>8</v>
      </c>
      <c r="G20" s="10" t="n">
        <v>10</v>
      </c>
      <c r="H20" s="11"/>
      <c r="I20" s="10" t="n">
        <f aca="false">IF($D20=1, 0, (MAX($G20,$F20,$C20,$B20)-$B20)/($E20-1))</f>
        <v>2</v>
      </c>
      <c r="J20" s="13"/>
      <c r="K20" s="17"/>
      <c r="L20" s="17"/>
      <c r="M20" s="17"/>
    </row>
    <row r="21" customFormat="false" ht="12.75" hidden="false" customHeight="true" outlineLevel="0" collapsed="false">
      <c r="A21" s="9" t="s">
        <v>13</v>
      </c>
      <c r="B21" s="10" t="n">
        <v>6</v>
      </c>
      <c r="C21" s="10" t="n">
        <v>6</v>
      </c>
      <c r="D21" s="10"/>
      <c r="E21" s="10" t="n">
        <v>4</v>
      </c>
      <c r="F21" s="10" t="n">
        <v>8</v>
      </c>
      <c r="G21" s="10" t="n">
        <v>8</v>
      </c>
      <c r="H21" s="10"/>
      <c r="I21" s="10" t="n">
        <f aca="false">IF($D21=1, 0, (MAX($G21,$F21,$C21,$B21)-$B21)/($E21-1))</f>
        <v>0.666666666666667</v>
      </c>
      <c r="J21" s="13"/>
      <c r="K21" s="17"/>
      <c r="L21" s="17"/>
      <c r="M21" s="17"/>
    </row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>
      <c r="C29" s="20" t="n">
        <v>4</v>
      </c>
      <c r="G29" s="21"/>
    </row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2025-10-17T13:52:38Z</dcterms:created>
  <dc:creator/>
  <dc:description/>
  <dc:language>pt-BR</dc:language>
  <cp:lastModifiedBy/>
  <dcterms:modified xsi:type="dcterms:W3CDTF">2026-01-12T15:58:33Z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