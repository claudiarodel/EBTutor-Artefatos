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<sst xmlns="http://schemas.openxmlformats.org/spreadsheetml/2006/main" count="73" uniqueCount="20">
  <si>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</si>
  <si>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</si>
  <si>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</si>
  <si>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</si>
  <si>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</si>
  <si>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Feddback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</si>
  <si>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</si>
  <si>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</si>
  <si>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</si>
  <si>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</si>
  <si>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</si>
  <si>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</si>
  <si>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</si>
  <si>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</si>
  <si>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</si>
  <si>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I</t>
  </si>
  <si>
    <t xml:space="preserve">R</t>
  </si>
  <si>
    <t xml:space="preserve">controle</t>
  </si>
  <si>
    <t xml:space="preserve">B</t>
  </si>
  <si>
    <t xml:space="preserve">MB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</si>
</sst>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000"/>
    <numFmt numFmtId="168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8"/>
    <col collapsed="false" customWidth="true" hidden="false" outlineLevel="0" max="2" min="2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2.1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2" t="s">
        <v>14</v>
      </c>
      <c r="B2" s="2" t="s">
        <v>15</v>
      </c>
      <c r="C2" s="4" t="n">
        <v>0.95</v>
      </c>
      <c r="D2" s="2" t="s">
        <v>16</v>
      </c>
      <c r="E2" s="4" t="n">
        <v>3.45</v>
      </c>
      <c r="F2" s="2"/>
      <c r="G2" s="5"/>
      <c r="H2" s="4" t="n">
        <f aca="false">E2-C2</f>
        <v>2.5</v>
      </c>
      <c r="I2" s="4"/>
      <c r="J2" s="4" t="n">
        <f aca="false">(E2-C2)/(10-C2)</f>
        <v>0.276243093922652</v>
      </c>
      <c r="K2" s="4"/>
    </row>
    <row r="3" customFormat="false" ht="12.8" hidden="false" customHeight="false" outlineLevel="0" collapsed="false">
      <c r="A3" s="6" t="s">
        <v>14</v>
      </c>
      <c r="B3" s="6" t="s">
        <v>15</v>
      </c>
      <c r="C3" s="4" t="n">
        <v>0.95</v>
      </c>
      <c r="D3" s="6" t="s">
        <v>16</v>
      </c>
      <c r="E3" s="7" t="n">
        <v>3.45</v>
      </c>
      <c r="F3" s="6"/>
      <c r="G3" s="8"/>
      <c r="H3" s="4" t="n">
        <f aca="false">E3-C3</f>
        <v>2.5</v>
      </c>
      <c r="I3" s="7"/>
      <c r="J3" s="4" t="n">
        <f aca="false">(E3-C3)/(10-C3)</f>
        <v>0.276243093922652</v>
      </c>
      <c r="K3" s="7"/>
      <c r="L3" s="1" t="s">
        <v>14</v>
      </c>
      <c r="M3" s="9" t="n">
        <f aca="false">AVERAGE(J2:J20)</f>
        <v>0.666161576603987</v>
      </c>
      <c r="N3" s="9" t="n">
        <f aca="false">MEDIAN(J2:J20)</f>
        <v>0.704630762093543</v>
      </c>
      <c r="O3" s="9" t="n">
        <f aca="false">STDEV(J2:J20)</f>
        <v>0.210962070410689</v>
      </c>
    </row>
    <row r="4" customFormat="false" ht="12.8" hidden="false" customHeight="false" outlineLevel="0" collapsed="false">
      <c r="A4" s="10" t="s">
        <v>17</v>
      </c>
      <c r="B4" s="10" t="s">
        <v>15</v>
      </c>
      <c r="C4" s="11" t="n">
        <v>0.95</v>
      </c>
      <c r="D4" s="10" t="s">
        <v>18</v>
      </c>
      <c r="E4" s="11" t="n">
        <v>6.45</v>
      </c>
      <c r="F4" s="10"/>
      <c r="G4" s="12"/>
      <c r="H4" s="11"/>
      <c r="I4" s="11" t="n">
        <f aca="false">E4-C4</f>
        <v>5.5</v>
      </c>
      <c r="J4" s="11"/>
      <c r="K4" s="11" t="n">
        <f aca="false">(E4-C4)/(10-C4)</f>
        <v>0.607734806629834</v>
      </c>
      <c r="M4" s="9"/>
      <c r="N4" s="9"/>
    </row>
    <row r="5" customFormat="false" ht="12.8" hidden="false" customHeight="false" outlineLevel="0" collapsed="false">
      <c r="A5" s="6" t="s">
        <v>14</v>
      </c>
      <c r="B5" s="6" t="s">
        <v>16</v>
      </c>
      <c r="C5" s="4" t="n">
        <v>3.45</v>
      </c>
      <c r="D5" s="6" t="s">
        <v>18</v>
      </c>
      <c r="E5" s="7" t="n">
        <v>6.45</v>
      </c>
      <c r="F5" s="6"/>
      <c r="G5" s="8"/>
      <c r="H5" s="7" t="n">
        <f aca="false">E5-C5</f>
        <v>3</v>
      </c>
      <c r="I5" s="7"/>
      <c r="J5" s="7" t="n">
        <f aca="false">(E5-C5)/(10-C5)</f>
        <v>0.458015267175573</v>
      </c>
      <c r="K5" s="7"/>
      <c r="L5" s="1" t="s">
        <v>17</v>
      </c>
      <c r="M5" s="9" t="n">
        <f aca="false">AVERAGE(K3:K20)</f>
        <v>0.447598161191008</v>
      </c>
      <c r="N5" s="9" t="n">
        <f aca="false">MEDIAN(K3:K20)</f>
        <v>0.276243093922652</v>
      </c>
      <c r="O5" s="9" t="n">
        <f aca="false">STDEV(K3:K20)</f>
        <v>0.244436518067331</v>
      </c>
    </row>
    <row r="6" customFormat="false" ht="12.8" hidden="false" customHeight="false" outlineLevel="0" collapsed="false">
      <c r="A6" s="6" t="s">
        <v>14</v>
      </c>
      <c r="B6" s="6" t="s">
        <v>16</v>
      </c>
      <c r="C6" s="4" t="n">
        <v>3.45</v>
      </c>
      <c r="D6" s="6" t="s">
        <v>19</v>
      </c>
      <c r="E6" s="7" t="n">
        <v>8.7</v>
      </c>
      <c r="F6" s="6"/>
      <c r="G6" s="8"/>
      <c r="H6" s="7" t="n">
        <f aca="false">E6-C6</f>
        <v>5.25</v>
      </c>
      <c r="I6" s="7"/>
      <c r="J6" s="7" t="n">
        <f aca="false">(E6-C6)/(10-C6)</f>
        <v>0.801526717557252</v>
      </c>
      <c r="K6" s="7"/>
    </row>
    <row r="7" customFormat="false" ht="12.8" hidden="false" customHeight="false" outlineLevel="0" collapsed="false">
      <c r="A7" s="6" t="s">
        <v>14</v>
      </c>
      <c r="B7" s="6" t="s">
        <v>15</v>
      </c>
      <c r="C7" s="4" t="n">
        <v>0.95</v>
      </c>
      <c r="D7" s="6" t="s">
        <v>19</v>
      </c>
      <c r="E7" s="7" t="n">
        <v>8.7</v>
      </c>
      <c r="F7" s="6"/>
      <c r="G7" s="8"/>
      <c r="H7" s="7" t="n">
        <f aca="false">E7-C7</f>
        <v>7.75</v>
      </c>
      <c r="I7" s="7"/>
      <c r="J7" s="7" t="n">
        <f aca="false">(E7-C7)/(10-C7)</f>
        <v>0.856353591160221</v>
      </c>
      <c r="K7" s="7"/>
    </row>
    <row r="8" customFormat="false" ht="12.8" hidden="false" customHeight="false" outlineLevel="0" collapsed="false">
      <c r="A8" s="6" t="s">
        <v>14</v>
      </c>
      <c r="B8" s="6" t="s">
        <v>15</v>
      </c>
      <c r="C8" s="4" t="n">
        <v>0.95</v>
      </c>
      <c r="D8" s="6" t="s">
        <v>19</v>
      </c>
      <c r="E8" s="7" t="n">
        <v>8.7</v>
      </c>
      <c r="F8" s="6"/>
      <c r="G8" s="8"/>
      <c r="H8" s="7" t="n">
        <f aca="false">E8-C8</f>
        <v>7.75</v>
      </c>
      <c r="I8" s="7"/>
      <c r="J8" s="7" t="n">
        <f aca="false">(E8-C8)/(10-C8)</f>
        <v>0.856353591160221</v>
      </c>
      <c r="K8" s="7"/>
    </row>
    <row r="9" customFormat="false" ht="12.8" hidden="false" customHeight="false" outlineLevel="0" collapsed="false">
      <c r="A9" s="10" t="s">
        <v>17</v>
      </c>
      <c r="B9" s="10" t="s">
        <v>15</v>
      </c>
      <c r="C9" s="11" t="n">
        <v>0.95</v>
      </c>
      <c r="D9" s="10" t="s">
        <v>16</v>
      </c>
      <c r="E9" s="11" t="n">
        <v>3.45</v>
      </c>
      <c r="F9" s="10"/>
      <c r="G9" s="12"/>
      <c r="H9" s="11"/>
      <c r="I9" s="11" t="n">
        <f aca="false">E9-C9</f>
        <v>2.5</v>
      </c>
      <c r="J9" s="11"/>
      <c r="K9" s="11" t="n">
        <f aca="false">(E9-C9)/(10-C9)</f>
        <v>0.276243093922652</v>
      </c>
    </row>
    <row r="10" customFormat="false" ht="12.8" hidden="false" customHeight="false" outlineLevel="0" collapsed="false">
      <c r="A10" s="10" t="s">
        <v>17</v>
      </c>
      <c r="B10" s="10" t="s">
        <v>15</v>
      </c>
      <c r="C10" s="11" t="n">
        <v>0.95</v>
      </c>
      <c r="D10" s="10" t="s">
        <v>16</v>
      </c>
      <c r="E10" s="11" t="n">
        <v>3.45</v>
      </c>
      <c r="F10" s="10"/>
      <c r="G10" s="12"/>
      <c r="H10" s="11"/>
      <c r="I10" s="11" t="n">
        <f aca="false">E10-C10</f>
        <v>2.5</v>
      </c>
      <c r="J10" s="11"/>
      <c r="K10" s="11" t="n">
        <f aca="false">(E10-C10)/(10-C10)</f>
        <v>0.276243093922652</v>
      </c>
    </row>
    <row r="11" customFormat="false" ht="12.8" hidden="false" customHeight="false" outlineLevel="0" collapsed="false">
      <c r="A11" s="6" t="s">
        <v>14</v>
      </c>
      <c r="B11" s="6" t="s">
        <v>15</v>
      </c>
      <c r="C11" s="4" t="n">
        <v>0.95</v>
      </c>
      <c r="D11" s="6" t="s">
        <v>19</v>
      </c>
      <c r="E11" s="7" t="n">
        <v>8.7</v>
      </c>
      <c r="F11" s="6"/>
      <c r="G11" s="8"/>
      <c r="H11" s="7" t="n">
        <f aca="false">E11-C11</f>
        <v>7.75</v>
      </c>
      <c r="I11" s="7"/>
      <c r="J11" s="7" t="n">
        <f aca="false">(E11-C11)/(10-C11)</f>
        <v>0.856353591160221</v>
      </c>
      <c r="K11" s="7"/>
    </row>
    <row r="12" customFormat="false" ht="12.8" hidden="false" customHeight="false" outlineLevel="0" collapsed="false">
      <c r="A12" s="10" t="s">
        <v>17</v>
      </c>
      <c r="B12" s="10" t="s">
        <v>16</v>
      </c>
      <c r="C12" s="11" t="n">
        <v>3.45</v>
      </c>
      <c r="D12" s="10" t="s">
        <v>19</v>
      </c>
      <c r="E12" s="11" t="n">
        <v>8.7</v>
      </c>
      <c r="F12" s="10"/>
      <c r="G12" s="12"/>
      <c r="H12" s="11"/>
      <c r="I12" s="11" t="n">
        <f aca="false">E12-C12</f>
        <v>5.25</v>
      </c>
      <c r="J12" s="11"/>
      <c r="K12" s="11" t="n">
        <f aca="false">(E12-C12)/(10-C12)</f>
        <v>0.801526717557252</v>
      </c>
    </row>
    <row r="13" customFormat="false" ht="12.8" hidden="false" customHeight="false" outlineLevel="0" collapsed="false">
      <c r="A13" s="6" t="s">
        <v>14</v>
      </c>
      <c r="B13" s="6" t="s">
        <v>16</v>
      </c>
      <c r="C13" s="4" t="n">
        <v>3.45</v>
      </c>
      <c r="D13" s="6" t="s">
        <v>19</v>
      </c>
      <c r="E13" s="7" t="n">
        <v>8.7</v>
      </c>
      <c r="F13" s="6"/>
      <c r="G13" s="8"/>
      <c r="H13" s="7" t="n">
        <f aca="false">E13-C13</f>
        <v>5.25</v>
      </c>
      <c r="I13" s="7"/>
      <c r="J13" s="7" t="n">
        <f aca="false">(E13-C13)/(10-C13)</f>
        <v>0.801526717557252</v>
      </c>
      <c r="K13" s="7"/>
    </row>
    <row r="14" customFormat="false" ht="12.8" hidden="false" customHeight="false" outlineLevel="0" collapsed="false">
      <c r="A14" s="6" t="s">
        <v>14</v>
      </c>
      <c r="B14" s="6" t="s">
        <v>15</v>
      </c>
      <c r="C14" s="4" t="n">
        <v>0.95</v>
      </c>
      <c r="D14" s="6" t="s">
        <v>18</v>
      </c>
      <c r="E14" s="7" t="n">
        <v>6.45</v>
      </c>
      <c r="F14" s="6"/>
      <c r="G14" s="13"/>
      <c r="H14" s="7" t="n">
        <f aca="false">E14-C14</f>
        <v>5.5</v>
      </c>
      <c r="I14" s="7"/>
      <c r="J14" s="7" t="n">
        <f aca="false">(E14-C14)/(10-C14)</f>
        <v>0.607734806629834</v>
      </c>
      <c r="K14" s="7"/>
    </row>
    <row r="15" customFormat="false" ht="12.8" hidden="false" customHeight="false" outlineLevel="0" collapsed="false">
      <c r="A15" s="10" t="s">
        <v>17</v>
      </c>
      <c r="B15" s="10" t="s">
        <v>15</v>
      </c>
      <c r="C15" s="11" t="n">
        <v>0.95</v>
      </c>
      <c r="D15" s="10" t="s">
        <v>16</v>
      </c>
      <c r="E15" s="11" t="n">
        <v>3.45</v>
      </c>
      <c r="F15" s="10"/>
      <c r="G15" s="12"/>
      <c r="H15" s="11"/>
      <c r="I15" s="11" t="n">
        <f aca="false">E15-C15</f>
        <v>2.5</v>
      </c>
      <c r="J15" s="11"/>
      <c r="K15" s="11" t="n">
        <f aca="false">(E15-C15)/(10-C15)</f>
        <v>0.276243093922652</v>
      </c>
    </row>
    <row r="16" customFormat="false" ht="12.8" hidden="false" customHeight="false" outlineLevel="0" collapsed="false">
      <c r="A16" s="6" t="s">
        <v>14</v>
      </c>
      <c r="B16" s="6" t="s">
        <v>15</v>
      </c>
      <c r="C16" s="4" t="n">
        <v>0.95</v>
      </c>
      <c r="D16" s="14" t="s">
        <v>18</v>
      </c>
      <c r="E16" s="7" t="n">
        <v>6.45</v>
      </c>
      <c r="F16" s="6"/>
      <c r="G16" s="8"/>
      <c r="H16" s="7" t="n">
        <f aca="false">E16-C16</f>
        <v>5.5</v>
      </c>
      <c r="I16" s="7"/>
      <c r="J16" s="7" t="n">
        <f aca="false">(E16-C16)/(10-C16)</f>
        <v>0.607734806629834</v>
      </c>
      <c r="K16" s="7"/>
    </row>
    <row r="17" customFormat="false" ht="12.8" hidden="false" customHeight="false" outlineLevel="0" collapsed="false">
      <c r="A17" s="6" t="s">
        <v>14</v>
      </c>
      <c r="B17" s="6" t="s">
        <v>15</v>
      </c>
      <c r="C17" s="4" t="n">
        <v>0.95</v>
      </c>
      <c r="D17" s="6" t="s">
        <v>18</v>
      </c>
      <c r="E17" s="7" t="n">
        <v>6.45</v>
      </c>
      <c r="F17" s="6"/>
      <c r="G17" s="8"/>
      <c r="H17" s="7" t="n">
        <f aca="false">E17-C17</f>
        <v>5.5</v>
      </c>
      <c r="I17" s="7"/>
      <c r="J17" s="7" t="n">
        <f aca="false">(E17-C17)/(10-C17)</f>
        <v>0.607734806629834</v>
      </c>
      <c r="K17" s="7"/>
    </row>
    <row r="18" customFormat="false" ht="12.8" hidden="false" customHeight="false" outlineLevel="0" collapsed="false">
      <c r="A18" s="6" t="s">
        <v>14</v>
      </c>
      <c r="B18" s="6" t="s">
        <v>15</v>
      </c>
      <c r="C18" s="4" t="n">
        <v>0.95</v>
      </c>
      <c r="D18" s="6" t="s">
        <v>19</v>
      </c>
      <c r="E18" s="7" t="n">
        <v>8.7</v>
      </c>
      <c r="F18" s="6"/>
      <c r="G18" s="8"/>
      <c r="H18" s="7" t="n">
        <f aca="false">E18-C18</f>
        <v>7.75</v>
      </c>
      <c r="I18" s="7"/>
      <c r="J18" s="7" t="n">
        <f aca="false">(E18-C18)/(10-C18)</f>
        <v>0.856353591160221</v>
      </c>
      <c r="K18" s="7"/>
    </row>
    <row r="19" customFormat="false" ht="12.8" hidden="false" customHeight="false" outlineLevel="0" collapsed="false">
      <c r="A19" s="6" t="s">
        <v>14</v>
      </c>
      <c r="B19" s="6" t="s">
        <v>15</v>
      </c>
      <c r="C19" s="4" t="n">
        <v>0.95</v>
      </c>
      <c r="D19" s="6" t="s">
        <v>18</v>
      </c>
      <c r="E19" s="7" t="n">
        <v>6.45</v>
      </c>
      <c r="F19" s="6"/>
      <c r="G19" s="8"/>
      <c r="H19" s="7" t="n">
        <f aca="false">E19-C19</f>
        <v>5.5</v>
      </c>
      <c r="I19" s="7"/>
      <c r="J19" s="7" t="n">
        <f aca="false">(E19-C19)/(10-C19)</f>
        <v>0.607734806629834</v>
      </c>
      <c r="K19" s="7"/>
    </row>
    <row r="20" customFormat="false" ht="12.8" hidden="false" customHeight="false" outlineLevel="0" collapsed="false">
      <c r="A20" s="15" t="s">
        <v>14</v>
      </c>
      <c r="B20" s="6" t="s">
        <v>15</v>
      </c>
      <c r="C20" s="4" t="n">
        <v>0.95</v>
      </c>
      <c r="D20" s="6" t="s">
        <v>19</v>
      </c>
      <c r="E20" s="7" t="n">
        <v>8.7</v>
      </c>
      <c r="F20" s="6"/>
      <c r="G20" s="8"/>
      <c r="H20" s="7" t="n">
        <f aca="false">E20-C20</f>
        <v>7.75</v>
      </c>
      <c r="I20" s="7"/>
      <c r="J20" s="7" t="n">
        <f aca="false">(E20-C20)/(10-C20)</f>
        <v>0.856353591160221</v>
      </c>
      <c r="K20" s="7"/>
    </row>
    <row r="22" customFormat="false" ht="12.8" hidden="false" customHeight="true" outlineLevel="0" collapsed="false">
      <c r="C22" s="16"/>
    </row>
    <row r="23" customFormat="false" ht="12.8" hidden="false" customHeight="true" outlineLevel="0" collapsed="false">
      <c r="C23" s="16"/>
      <c r="D23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968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2026-01-12T15:45:00Z</dcterms:modified>
  <cp:revision>181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