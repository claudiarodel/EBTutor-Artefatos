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<sst xmlns="http://schemas.openxmlformats.org/spreadsheetml/2006/main" count="190" uniqueCount="39">
  <si>
    <t xml:space="preserve">Grupo</t>
  </si>
  <si>
    <t xml:space="preserve">PA1 Inicial</t>
  </si>
  <si>
    <t xml:space="preserve">PA1 Final</t>
  </si>
  <si>
    <t xml:space="preserve">PA2</t>
  </si>
  <si>
    <t xml:space="preserve">Feedback Inicial</t>
  </si>
  <si>
    <t xml:space="preserve">Feedback Inicial Autoaperfeiçoamento</t>
  </si>
  <si>
    <t xml:space="preserve">Nota Inicial</t>
  </si>
  <si>
    <t xml:space="preserve">Feedback Final</t>
  </si>
  <si>
    <t xml:space="preserve">Feedback Final Autoaperfeiçoamento</t>
  </si>
  <si>
    <t xml:space="preserve">Nota Final</t>
  </si>
  <si>
    <t xml:space="preserve">Feddback Instrutor</t>
  </si>
  <si>
    <t xml:space="preserve">Nota Instrutor</t>
  </si>
  <si>
    <t xml:space="preserve">Delta Nota EB</t>
  </si>
  <si>
    <t xml:space="preserve">Delta Nota NEB</t>
  </si>
  <si>
    <t xml:space="preserve">Ganho Normalizado EB</t>
  </si>
  <si>
    <t xml:space="preserve">Ganho Normalizado NEB</t>
  </si>
  <si>
    <t xml:space="preserve">média</t>
  </si>
  <si>
    <t xml:space="preserve">mediana</t>
  </si>
  <si>
    <t xml:space="preserve">desvio padrão</t>
  </si>
  <si>
    <t xml:space="preserve">intervencao</t>
  </si>
  <si>
    <t xml:space="preserve">Não Evidenciado</t>
  </si>
  <si>
    <t xml:space="preserve">Evidenciado</t>
  </si>
  <si>
    <t xml:space="preserve">R</t>
  </si>
  <si>
    <t xml:space="preserve">NE+Evd=R</t>
  </si>
  <si>
    <t xml:space="preserve">E</t>
  </si>
  <si>
    <t xml:space="preserve">Pouco Evidenciado</t>
  </si>
  <si>
    <t xml:space="preserve">Extremamente Evidenciado</t>
  </si>
  <si>
    <t xml:space="preserve">NE+EE=R</t>
  </si>
  <si>
    <t xml:space="preserve">MB</t>
  </si>
  <si>
    <t xml:space="preserve">PE+EE=MB</t>
  </si>
  <si>
    <t xml:space="preserve">controle</t>
  </si>
  <si>
    <t xml:space="preserve">B</t>
  </si>
  <si>
    <t xml:space="preserve">Evd+Evd=B</t>
  </si>
  <si>
    <t xml:space="preserve">PE+Evd=R</t>
  </si>
  <si>
    <t xml:space="preserve">Evd+EE=E</t>
  </si>
  <si>
    <t xml:space="preserve">Muito Evidenciado</t>
  </si>
  <si>
    <t xml:space="preserve">ME+Evd=MB</t>
  </si>
  <si>
    <t xml:space="preserve">PE+ME=B</t>
  </si>
  <si>
    <t xml:space="preserve">ME+ME=MB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</si>
</sst>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0"/>
    <numFmt numFmtId="166" formatCode="#,###.000"/>
    <numFmt numFmtId="167" formatCode="0.000"/>
    <numFmt numFmtId="168" formatCode="0.00"/>
    <numFmt numFmtId="169" formatCode="#,##0.0000"/>
    <numFmt numFmtId="170" formatCode="0.00%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9900"/>
        <bgColor rgb="FFFFCC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2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2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3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3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2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9" activeCellId="0" sqref="B1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3.98"/>
    <col collapsed="false" customWidth="true" hidden="false" outlineLevel="0" max="2" min="2" style="1" width="16.15"/>
    <col collapsed="false" customWidth="true" hidden="false" outlineLevel="0" max="3" min="3" style="1" width="18.65"/>
    <col collapsed="false" customWidth="true" hidden="false" outlineLevel="0" max="4" min="4" style="1" width="24.52"/>
    <col collapsed="false" customWidth="true" hidden="false" outlineLevel="0" max="6" min="5" style="1" width="32.23"/>
    <col collapsed="false" customWidth="true" hidden="false" outlineLevel="0" max="9" min="8" style="1" width="28.18"/>
    <col collapsed="false" customWidth="true" hidden="false" outlineLevel="0" max="10" min="10" style="1" width="14.09"/>
    <col collapsed="false" customWidth="true" hidden="false" outlineLevel="0" max="11" min="11" style="1" width="17.45"/>
    <col collapsed="false" customWidth="true" hidden="false" outlineLevel="0" max="13" min="12" style="1" width="19.19"/>
    <col collapsed="false" customWidth="true" hidden="false" outlineLevel="0" max="14" min="14" style="1" width="18.87"/>
    <col collapsed="false" customWidth="true" hidden="false" outlineLevel="0" max="15" min="15" style="1" width="23.31"/>
    <col collapsed="false" customWidth="true" hidden="false" outlineLevel="0" max="16" min="16" style="1" width="22.1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R1" s="1" t="s">
        <v>16</v>
      </c>
      <c r="S1" s="1" t="s">
        <v>17</v>
      </c>
      <c r="T1" s="1" t="s">
        <v>18</v>
      </c>
    </row>
    <row r="2" customFormat="false" ht="12.8" hidden="false" customHeight="false" outlineLevel="0" collapsed="false">
      <c r="A2" s="2" t="s">
        <v>19</v>
      </c>
      <c r="B2" s="2" t="s">
        <v>20</v>
      </c>
      <c r="C2" s="2" t="s">
        <v>20</v>
      </c>
      <c r="D2" s="2" t="s">
        <v>21</v>
      </c>
      <c r="E2" s="2" t="s">
        <v>22</v>
      </c>
      <c r="F2" s="2" t="s">
        <v>23</v>
      </c>
      <c r="G2" s="4" t="n">
        <v>3.45</v>
      </c>
      <c r="H2" s="4" t="s">
        <v>22</v>
      </c>
      <c r="I2" s="2" t="s">
        <v>23</v>
      </c>
      <c r="J2" s="5" t="n">
        <v>3.45</v>
      </c>
      <c r="K2" s="2" t="s">
        <v>24</v>
      </c>
      <c r="L2" s="6" t="n">
        <v>9.5</v>
      </c>
      <c r="M2" s="7" t="n">
        <f aca="false">J2-G2</f>
        <v>0</v>
      </c>
      <c r="N2" s="8"/>
      <c r="O2" s="7" t="n">
        <f aca="false">(J2-G2)/(10-G2)</f>
        <v>0</v>
      </c>
      <c r="P2" s="8"/>
      <c r="Q2" s="1" t="s">
        <v>19</v>
      </c>
      <c r="R2" s="9" t="n">
        <f aca="false">AVERAGE(O2:O26)</f>
        <v>0.589862427648687</v>
      </c>
      <c r="S2" s="9" t="n">
        <f aca="false">MEDIAN(O2:O26)</f>
        <v>0.801526717557252</v>
      </c>
      <c r="T2" s="9" t="n">
        <f aca="false">STDEV(O2:O26)</f>
        <v>0.294796162632726</v>
      </c>
    </row>
    <row r="3" customFormat="false" ht="12.8" hidden="false" customHeight="false" outlineLevel="0" collapsed="false">
      <c r="A3" s="2" t="s">
        <v>19</v>
      </c>
      <c r="B3" s="10" t="s">
        <v>20</v>
      </c>
      <c r="C3" s="10" t="s">
        <v>25</v>
      </c>
      <c r="D3" s="10" t="s">
        <v>26</v>
      </c>
      <c r="E3" s="10" t="s">
        <v>22</v>
      </c>
      <c r="F3" s="10" t="s">
        <v>27</v>
      </c>
      <c r="G3" s="11" t="n">
        <v>3.45</v>
      </c>
      <c r="H3" s="11" t="s">
        <v>28</v>
      </c>
      <c r="I3" s="10" t="s">
        <v>29</v>
      </c>
      <c r="J3" s="12" t="n">
        <v>8.75</v>
      </c>
      <c r="K3" s="10" t="s">
        <v>28</v>
      </c>
      <c r="L3" s="13" t="n">
        <v>8.5</v>
      </c>
      <c r="M3" s="7" t="n">
        <f aca="false">J3-G3</f>
        <v>5.3</v>
      </c>
      <c r="N3" s="7"/>
      <c r="O3" s="7" t="n">
        <f aca="false">(J3-G3)/(10-G3)</f>
        <v>0.809160305343512</v>
      </c>
      <c r="P3" s="7"/>
      <c r="R3" s="9"/>
      <c r="S3" s="9"/>
    </row>
    <row r="4" customFormat="false" ht="12.8" hidden="false" customHeight="false" outlineLevel="0" collapsed="false">
      <c r="A4" s="14" t="s">
        <v>30</v>
      </c>
      <c r="B4" s="14" t="s">
        <v>20</v>
      </c>
      <c r="C4" s="14" t="s">
        <v>21</v>
      </c>
      <c r="D4" s="14" t="s">
        <v>21</v>
      </c>
      <c r="E4" s="14" t="s">
        <v>22</v>
      </c>
      <c r="F4" s="14" t="s">
        <v>23</v>
      </c>
      <c r="G4" s="15" t="n">
        <v>3.45</v>
      </c>
      <c r="H4" s="15" t="s">
        <v>31</v>
      </c>
      <c r="I4" s="14" t="s">
        <v>32</v>
      </c>
      <c r="J4" s="16" t="n">
        <v>6.45</v>
      </c>
      <c r="K4" s="14"/>
      <c r="L4" s="17"/>
      <c r="M4" s="18"/>
      <c r="N4" s="18" t="n">
        <f aca="false">J4-G4</f>
        <v>3</v>
      </c>
      <c r="O4" s="18"/>
      <c r="P4" s="18" t="n">
        <f aca="false">(J4-G4)/(10-G4)</f>
        <v>0.458015267175573</v>
      </c>
      <c r="R4" s="9"/>
      <c r="S4" s="9"/>
    </row>
    <row r="5" customFormat="false" ht="12.8" hidden="false" customHeight="false" outlineLevel="0" collapsed="false">
      <c r="A5" s="2" t="s">
        <v>19</v>
      </c>
      <c r="B5" s="10" t="s">
        <v>25</v>
      </c>
      <c r="C5" s="10" t="s">
        <v>21</v>
      </c>
      <c r="D5" s="10" t="s">
        <v>21</v>
      </c>
      <c r="E5" s="10" t="s">
        <v>22</v>
      </c>
      <c r="F5" s="10" t="s">
        <v>33</v>
      </c>
      <c r="G5" s="11" t="n">
        <v>3.45</v>
      </c>
      <c r="H5" s="11" t="s">
        <v>31</v>
      </c>
      <c r="I5" s="10" t="s">
        <v>32</v>
      </c>
      <c r="J5" s="12" t="n">
        <v>6.45</v>
      </c>
      <c r="K5" s="10" t="s">
        <v>28</v>
      </c>
      <c r="L5" s="13" t="n">
        <v>9.3</v>
      </c>
      <c r="M5" s="7" t="n">
        <f aca="false">J5-G5</f>
        <v>3</v>
      </c>
      <c r="N5" s="7"/>
      <c r="O5" s="7" t="n">
        <f aca="false">(J5-G5)/(10-G5)</f>
        <v>0.458015267175573</v>
      </c>
      <c r="P5" s="7"/>
      <c r="Q5" s="1" t="s">
        <v>30</v>
      </c>
      <c r="R5" s="9" t="n">
        <f aca="false">AVERAGE(P3:P26)</f>
        <v>0.218363616815396</v>
      </c>
      <c r="S5" s="9" t="n">
        <f aca="false">MEDIAN(P3:P26)</f>
        <v>0</v>
      </c>
      <c r="T5" s="9" t="n">
        <f aca="false">STDEV(P3:P26)</f>
        <v>0.305397548260691</v>
      </c>
    </row>
    <row r="6" customFormat="false" ht="12.8" hidden="false" customHeight="false" outlineLevel="0" collapsed="false">
      <c r="A6" s="2" t="s">
        <v>19</v>
      </c>
      <c r="B6" s="10" t="s">
        <v>25</v>
      </c>
      <c r="C6" s="10" t="s">
        <v>21</v>
      </c>
      <c r="D6" s="10" t="s">
        <v>26</v>
      </c>
      <c r="E6" s="10" t="s">
        <v>28</v>
      </c>
      <c r="F6" s="10" t="s">
        <v>29</v>
      </c>
      <c r="G6" s="11" t="n">
        <v>8.7</v>
      </c>
      <c r="H6" s="11" t="s">
        <v>24</v>
      </c>
      <c r="I6" s="10" t="s">
        <v>34</v>
      </c>
      <c r="J6" s="12" t="n">
        <v>9.75</v>
      </c>
      <c r="K6" s="10" t="s">
        <v>24</v>
      </c>
      <c r="L6" s="13" t="n">
        <v>9.5</v>
      </c>
      <c r="M6" s="7" t="n">
        <f aca="false">J6-G6</f>
        <v>1.05</v>
      </c>
      <c r="N6" s="7"/>
      <c r="O6" s="7" t="n">
        <f aca="false">(J6-G6)/(10-G6)</f>
        <v>0.807692307692308</v>
      </c>
      <c r="P6" s="7"/>
    </row>
    <row r="7" customFormat="false" ht="12.8" hidden="false" customHeight="false" outlineLevel="0" collapsed="false">
      <c r="A7" s="2" t="s">
        <v>19</v>
      </c>
      <c r="B7" s="10" t="s">
        <v>20</v>
      </c>
      <c r="C7" s="10" t="s">
        <v>35</v>
      </c>
      <c r="D7" s="10" t="s">
        <v>21</v>
      </c>
      <c r="E7" s="10" t="s">
        <v>22</v>
      </c>
      <c r="F7" s="10" t="s">
        <v>23</v>
      </c>
      <c r="G7" s="11" t="n">
        <v>3.45</v>
      </c>
      <c r="H7" s="11" t="s">
        <v>28</v>
      </c>
      <c r="I7" s="10" t="s">
        <v>36</v>
      </c>
      <c r="J7" s="12" t="n">
        <v>8.7</v>
      </c>
      <c r="K7" s="10" t="s">
        <v>28</v>
      </c>
      <c r="L7" s="13" t="n">
        <v>9.1</v>
      </c>
      <c r="M7" s="7" t="n">
        <f aca="false">J7-G7</f>
        <v>5.25</v>
      </c>
      <c r="N7" s="7"/>
      <c r="O7" s="7" t="n">
        <f aca="false">(J7-G7)/(10-G7)</f>
        <v>0.801526717557252</v>
      </c>
      <c r="P7" s="7"/>
    </row>
    <row r="8" customFormat="false" ht="12.8" hidden="false" customHeight="false" outlineLevel="0" collapsed="false">
      <c r="A8" s="2" t="s">
        <v>19</v>
      </c>
      <c r="B8" s="10" t="s">
        <v>20</v>
      </c>
      <c r="C8" s="10" t="s">
        <v>35</v>
      </c>
      <c r="D8" s="10" t="s">
        <v>21</v>
      </c>
      <c r="E8" s="10" t="s">
        <v>22</v>
      </c>
      <c r="F8" s="10" t="s">
        <v>23</v>
      </c>
      <c r="G8" s="11" t="n">
        <v>3.45</v>
      </c>
      <c r="H8" s="11" t="s">
        <v>28</v>
      </c>
      <c r="I8" s="10" t="s">
        <v>36</v>
      </c>
      <c r="J8" s="12" t="n">
        <v>8.7</v>
      </c>
      <c r="K8" s="10" t="s">
        <v>24</v>
      </c>
      <c r="L8" s="13" t="n">
        <v>9.85</v>
      </c>
      <c r="M8" s="7" t="n">
        <f aca="false">J8-G8</f>
        <v>5.25</v>
      </c>
      <c r="N8" s="7"/>
      <c r="O8" s="7" t="n">
        <f aca="false">(J8-G8)/(10-G8)</f>
        <v>0.801526717557252</v>
      </c>
      <c r="P8" s="7"/>
    </row>
    <row r="9" customFormat="false" ht="12.8" hidden="false" customHeight="false" outlineLevel="0" collapsed="false">
      <c r="A9" s="14" t="s">
        <v>30</v>
      </c>
      <c r="B9" s="14" t="s">
        <v>20</v>
      </c>
      <c r="C9" s="14" t="s">
        <v>25</v>
      </c>
      <c r="D9" s="14" t="s">
        <v>21</v>
      </c>
      <c r="E9" s="14" t="s">
        <v>22</v>
      </c>
      <c r="F9" s="14" t="s">
        <v>23</v>
      </c>
      <c r="G9" s="15" t="n">
        <v>3.45</v>
      </c>
      <c r="H9" s="15" t="s">
        <v>22</v>
      </c>
      <c r="I9" s="14" t="s">
        <v>33</v>
      </c>
      <c r="J9" s="16" t="n">
        <v>3.45</v>
      </c>
      <c r="K9" s="14" t="s">
        <v>24</v>
      </c>
      <c r="L9" s="17" t="n">
        <v>10</v>
      </c>
      <c r="M9" s="18"/>
      <c r="N9" s="18" t="n">
        <f aca="false">J9-G9</f>
        <v>0</v>
      </c>
      <c r="O9" s="18"/>
      <c r="P9" s="18" t="n">
        <f aca="false">(J9-G9)/(10-G9)</f>
        <v>0</v>
      </c>
    </row>
    <row r="10" customFormat="false" ht="12.8" hidden="false" customHeight="false" outlineLevel="0" collapsed="false">
      <c r="A10" s="14" t="s">
        <v>30</v>
      </c>
      <c r="B10" s="14" t="s">
        <v>20</v>
      </c>
      <c r="C10" s="14" t="s">
        <v>25</v>
      </c>
      <c r="D10" s="14" t="s">
        <v>21</v>
      </c>
      <c r="E10" s="14" t="s">
        <v>22</v>
      </c>
      <c r="F10" s="14" t="s">
        <v>23</v>
      </c>
      <c r="G10" s="15" t="n">
        <v>3.45</v>
      </c>
      <c r="H10" s="15" t="s">
        <v>22</v>
      </c>
      <c r="I10" s="14" t="s">
        <v>33</v>
      </c>
      <c r="J10" s="16" t="n">
        <v>3.45</v>
      </c>
      <c r="K10" s="14" t="s">
        <v>24</v>
      </c>
      <c r="L10" s="17" t="n">
        <v>9.5</v>
      </c>
      <c r="M10" s="18"/>
      <c r="N10" s="18" t="n">
        <f aca="false">J10-G10</f>
        <v>0</v>
      </c>
      <c r="O10" s="18"/>
      <c r="P10" s="18" t="n">
        <f aca="false">(J10-G10)/(10-G10)</f>
        <v>0</v>
      </c>
    </row>
    <row r="11" customFormat="false" ht="12.8" hidden="false" customHeight="false" outlineLevel="0" collapsed="false">
      <c r="A11" s="2" t="s">
        <v>19</v>
      </c>
      <c r="B11" s="10" t="s">
        <v>20</v>
      </c>
      <c r="C11" s="10" t="s">
        <v>35</v>
      </c>
      <c r="D11" s="10" t="s">
        <v>21</v>
      </c>
      <c r="E11" s="10" t="s">
        <v>22</v>
      </c>
      <c r="F11" s="10" t="s">
        <v>23</v>
      </c>
      <c r="G11" s="11" t="n">
        <v>3.45</v>
      </c>
      <c r="H11" s="11" t="s">
        <v>28</v>
      </c>
      <c r="I11" s="10" t="s">
        <v>36</v>
      </c>
      <c r="J11" s="12" t="n">
        <v>8.7</v>
      </c>
      <c r="K11" s="10"/>
      <c r="L11" s="13"/>
      <c r="M11" s="7" t="n">
        <f aca="false">J11-G11</f>
        <v>5.25</v>
      </c>
      <c r="N11" s="7"/>
      <c r="O11" s="7" t="n">
        <f aca="false">(J11-G11)/(10-G11)</f>
        <v>0.801526717557252</v>
      </c>
      <c r="P11" s="7"/>
    </row>
    <row r="12" customFormat="false" ht="12.8" hidden="false" customHeight="false" outlineLevel="0" collapsed="false">
      <c r="A12" s="14" t="s">
        <v>30</v>
      </c>
      <c r="B12" s="14" t="s">
        <v>25</v>
      </c>
      <c r="C12" s="14" t="s">
        <v>35</v>
      </c>
      <c r="D12" s="14" t="s">
        <v>35</v>
      </c>
      <c r="E12" s="14" t="s">
        <v>31</v>
      </c>
      <c r="F12" s="14" t="s">
        <v>37</v>
      </c>
      <c r="G12" s="15" t="n">
        <v>6.45</v>
      </c>
      <c r="H12" s="15" t="s">
        <v>28</v>
      </c>
      <c r="I12" s="14" t="s">
        <v>38</v>
      </c>
      <c r="J12" s="16" t="n">
        <v>8.7</v>
      </c>
      <c r="K12" s="14" t="s">
        <v>24</v>
      </c>
      <c r="L12" s="17" t="n">
        <v>9.85</v>
      </c>
      <c r="M12" s="18"/>
      <c r="N12" s="18" t="n">
        <f aca="false">J12-G12</f>
        <v>2.25</v>
      </c>
      <c r="O12" s="18"/>
      <c r="P12" s="18" t="n">
        <f aca="false">(J12-G12)/(10-G12)</f>
        <v>0.633802816901408</v>
      </c>
    </row>
    <row r="13" customFormat="false" ht="12.8" hidden="false" customHeight="false" outlineLevel="0" collapsed="false">
      <c r="A13" s="2" t="s">
        <v>19</v>
      </c>
      <c r="B13" s="10" t="s">
        <v>20</v>
      </c>
      <c r="C13" s="10" t="s">
        <v>35</v>
      </c>
      <c r="D13" s="10" t="s">
        <v>21</v>
      </c>
      <c r="E13" s="10" t="s">
        <v>22</v>
      </c>
      <c r="F13" s="10" t="s">
        <v>23</v>
      </c>
      <c r="G13" s="11" t="n">
        <v>3.45</v>
      </c>
      <c r="H13" s="11" t="s">
        <v>28</v>
      </c>
      <c r="I13" s="10" t="s">
        <v>36</v>
      </c>
      <c r="J13" s="12" t="n">
        <v>8.7</v>
      </c>
      <c r="K13" s="10" t="s">
        <v>24</v>
      </c>
      <c r="L13" s="13" t="n">
        <v>9.5</v>
      </c>
      <c r="M13" s="7" t="n">
        <f aca="false">J13-G13</f>
        <v>5.25</v>
      </c>
      <c r="N13" s="7"/>
      <c r="O13" s="7" t="n">
        <f aca="false">(J13-G13)/(10-G13)</f>
        <v>0.801526717557252</v>
      </c>
      <c r="P13" s="7"/>
    </row>
    <row r="14" customFormat="false" ht="12.8" hidden="false" customHeight="false" outlineLevel="0" collapsed="false">
      <c r="A14" s="2" t="s">
        <v>19</v>
      </c>
      <c r="B14" s="10" t="s">
        <v>20</v>
      </c>
      <c r="C14" s="10" t="s">
        <v>21</v>
      </c>
      <c r="D14" s="10" t="s">
        <v>21</v>
      </c>
      <c r="E14" s="10" t="s">
        <v>22</v>
      </c>
      <c r="F14" s="10" t="s">
        <v>23</v>
      </c>
      <c r="G14" s="11" t="n">
        <v>3.45</v>
      </c>
      <c r="H14" s="11" t="s">
        <v>31</v>
      </c>
      <c r="I14" s="10" t="s">
        <v>32</v>
      </c>
      <c r="J14" s="12" t="n">
        <v>6.45</v>
      </c>
      <c r="K14" s="10" t="s">
        <v>28</v>
      </c>
      <c r="L14" s="19" t="n">
        <v>9.3</v>
      </c>
      <c r="M14" s="7" t="n">
        <f aca="false">J14-G14</f>
        <v>3</v>
      </c>
      <c r="N14" s="7"/>
      <c r="O14" s="7" t="n">
        <f aca="false">(J14-G14)/(10-G14)</f>
        <v>0.458015267175573</v>
      </c>
      <c r="P14" s="7"/>
    </row>
    <row r="15" customFormat="false" ht="12.8" hidden="false" customHeight="false" outlineLevel="0" collapsed="false">
      <c r="A15" s="14" t="s">
        <v>30</v>
      </c>
      <c r="B15" s="14" t="s">
        <v>20</v>
      </c>
      <c r="C15" s="14" t="s">
        <v>25</v>
      </c>
      <c r="D15" s="14" t="s">
        <v>21</v>
      </c>
      <c r="E15" s="14" t="s">
        <v>22</v>
      </c>
      <c r="F15" s="14" t="s">
        <v>23</v>
      </c>
      <c r="G15" s="15" t="n">
        <v>3.45</v>
      </c>
      <c r="H15" s="15" t="s">
        <v>22</v>
      </c>
      <c r="I15" s="14" t="s">
        <v>33</v>
      </c>
      <c r="J15" s="16" t="n">
        <v>3.45</v>
      </c>
      <c r="K15" s="14" t="s">
        <v>28</v>
      </c>
      <c r="L15" s="17" t="n">
        <v>9.3</v>
      </c>
      <c r="M15" s="18"/>
      <c r="N15" s="18" t="n">
        <f aca="false">J15-G15</f>
        <v>0</v>
      </c>
      <c r="O15" s="18"/>
      <c r="P15" s="18" t="n">
        <f aca="false">(J15-G15)/(10-G15)</f>
        <v>0</v>
      </c>
    </row>
    <row r="16" customFormat="false" ht="12.8" hidden="false" customHeight="false" outlineLevel="0" collapsed="false">
      <c r="A16" s="2" t="s">
        <v>19</v>
      </c>
      <c r="B16" s="10" t="s">
        <v>20</v>
      </c>
      <c r="C16" s="10" t="s">
        <v>21</v>
      </c>
      <c r="D16" s="10" t="s">
        <v>21</v>
      </c>
      <c r="E16" s="10" t="s">
        <v>22</v>
      </c>
      <c r="F16" s="10" t="s">
        <v>23</v>
      </c>
      <c r="G16" s="11" t="n">
        <v>3.45</v>
      </c>
      <c r="H16" s="11" t="s">
        <v>31</v>
      </c>
      <c r="I16" s="10" t="s">
        <v>32</v>
      </c>
      <c r="J16" s="12" t="n">
        <v>6.45</v>
      </c>
      <c r="K16" s="10" t="s">
        <v>28</v>
      </c>
      <c r="L16" s="13" t="n">
        <v>9</v>
      </c>
      <c r="M16" s="7" t="n">
        <f aca="false">J16-G16</f>
        <v>3</v>
      </c>
      <c r="N16" s="7"/>
      <c r="O16" s="7" t="n">
        <f aca="false">(J16-G16)/(10-G16)</f>
        <v>0.458015267175573</v>
      </c>
      <c r="P16" s="7"/>
    </row>
    <row r="17" customFormat="false" ht="12.8" hidden="false" customHeight="false" outlineLevel="0" collapsed="false">
      <c r="A17" s="2" t="s">
        <v>19</v>
      </c>
      <c r="B17" s="10" t="s">
        <v>20</v>
      </c>
      <c r="C17" s="10" t="s">
        <v>25</v>
      </c>
      <c r="D17" s="10" t="s">
        <v>21</v>
      </c>
      <c r="E17" s="10" t="s">
        <v>22</v>
      </c>
      <c r="F17" s="10" t="s">
        <v>23</v>
      </c>
      <c r="G17" s="11" t="n">
        <v>3.45</v>
      </c>
      <c r="H17" s="11" t="s">
        <v>22</v>
      </c>
      <c r="I17" s="10" t="s">
        <v>33</v>
      </c>
      <c r="J17" s="12" t="n">
        <v>3.45</v>
      </c>
      <c r="K17" s="10" t="s">
        <v>24</v>
      </c>
      <c r="L17" s="13" t="n">
        <v>9.5</v>
      </c>
      <c r="M17" s="7" t="n">
        <f aca="false">J17-G17</f>
        <v>0</v>
      </c>
      <c r="N17" s="7"/>
      <c r="O17" s="7" t="n">
        <f aca="false">(J17-G17)/(10-G17)</f>
        <v>0</v>
      </c>
      <c r="P17" s="7"/>
    </row>
    <row r="18" customFormat="false" ht="12.8" hidden="false" customHeight="false" outlineLevel="0" collapsed="false">
      <c r="A18" s="2" t="s">
        <v>19</v>
      </c>
      <c r="B18" s="10" t="s">
        <v>20</v>
      </c>
      <c r="C18" s="10" t="s">
        <v>35</v>
      </c>
      <c r="D18" s="10" t="s">
        <v>21</v>
      </c>
      <c r="E18" s="10" t="s">
        <v>22</v>
      </c>
      <c r="F18" s="10" t="s">
        <v>23</v>
      </c>
      <c r="G18" s="11" t="n">
        <v>3.45</v>
      </c>
      <c r="H18" s="11" t="s">
        <v>28</v>
      </c>
      <c r="I18" s="10" t="s">
        <v>36</v>
      </c>
      <c r="J18" s="12" t="n">
        <v>8.7</v>
      </c>
      <c r="K18" s="10" t="s">
        <v>28</v>
      </c>
      <c r="L18" s="13" t="n">
        <v>9</v>
      </c>
      <c r="M18" s="7" t="n">
        <f aca="false">J18-G18</f>
        <v>5.25</v>
      </c>
      <c r="N18" s="7"/>
      <c r="O18" s="7" t="n">
        <f aca="false">(J18-G18)/(10-G18)</f>
        <v>0.801526717557252</v>
      </c>
      <c r="P18" s="7"/>
    </row>
    <row r="19" customFormat="false" ht="12.8" hidden="false" customHeight="false" outlineLevel="0" collapsed="false">
      <c r="A19" s="2" t="s">
        <v>19</v>
      </c>
      <c r="B19" s="10" t="s">
        <v>20</v>
      </c>
      <c r="C19" s="10" t="s">
        <v>21</v>
      </c>
      <c r="D19" s="10" t="s">
        <v>21</v>
      </c>
      <c r="E19" s="10" t="s">
        <v>22</v>
      </c>
      <c r="F19" s="10" t="s">
        <v>23</v>
      </c>
      <c r="G19" s="11" t="n">
        <v>3.45</v>
      </c>
      <c r="H19" s="11" t="s">
        <v>31</v>
      </c>
      <c r="I19" s="10" t="s">
        <v>32</v>
      </c>
      <c r="J19" s="12" t="n">
        <v>6.45</v>
      </c>
      <c r="K19" s="10" t="s">
        <v>28</v>
      </c>
      <c r="L19" s="13" t="n">
        <v>9.35</v>
      </c>
      <c r="M19" s="7" t="n">
        <f aca="false">J19-G19</f>
        <v>3</v>
      </c>
      <c r="N19" s="7"/>
      <c r="O19" s="7" t="n">
        <f aca="false">(J19-G19)/(10-G19)</f>
        <v>0.458015267175573</v>
      </c>
    </row>
    <row r="20" customFormat="false" ht="12.8" hidden="false" customHeight="false" outlineLevel="0" collapsed="false">
      <c r="A20" s="2" t="s">
        <v>19</v>
      </c>
      <c r="B20" s="10" t="s">
        <v>20</v>
      </c>
      <c r="C20" s="10" t="s">
        <v>35</v>
      </c>
      <c r="D20" s="10" t="s">
        <v>21</v>
      </c>
      <c r="E20" s="10" t="s">
        <v>22</v>
      </c>
      <c r="F20" s="10" t="s">
        <v>23</v>
      </c>
      <c r="G20" s="11" t="n">
        <v>3.45</v>
      </c>
      <c r="H20" s="11" t="s">
        <v>28</v>
      </c>
      <c r="I20" s="10" t="s">
        <v>36</v>
      </c>
      <c r="J20" s="12" t="n">
        <v>8.7</v>
      </c>
      <c r="K20" s="10" t="s">
        <v>24</v>
      </c>
      <c r="L20" s="13" t="n">
        <v>9.8</v>
      </c>
      <c r="M20" s="7" t="n">
        <f aca="false">J20-G20</f>
        <v>5.25</v>
      </c>
      <c r="N20" s="7"/>
      <c r="O20" s="7" t="n">
        <f aca="false">(J20-G20)/(10-G20)</f>
        <v>0.801526717557252</v>
      </c>
      <c r="P20" s="7"/>
    </row>
    <row r="21" customFormat="false" ht="12.8" hidden="false" customHeight="false" outlineLevel="0" collapsed="false">
      <c r="A21" s="10"/>
      <c r="B21" s="10"/>
      <c r="C21" s="10"/>
      <c r="D21" s="10"/>
      <c r="E21" s="10"/>
      <c r="F21" s="10"/>
      <c r="G21" s="11"/>
      <c r="H21" s="11"/>
      <c r="I21" s="10"/>
      <c r="J21" s="12"/>
      <c r="K21" s="10"/>
      <c r="L21" s="13"/>
      <c r="M21" s="7"/>
      <c r="N21" s="20"/>
      <c r="O21" s="7"/>
      <c r="P21" s="21"/>
    </row>
    <row r="22" customFormat="false" ht="12.8" hidden="false" customHeight="true" outlineLevel="0" collapsed="false">
      <c r="A22" s="10"/>
      <c r="B22" s="10"/>
      <c r="C22" s="10"/>
      <c r="D22" s="10"/>
      <c r="E22" s="10"/>
      <c r="F22" s="10"/>
      <c r="G22" s="11"/>
      <c r="H22" s="11"/>
      <c r="I22" s="10"/>
      <c r="J22" s="12"/>
      <c r="K22" s="10"/>
      <c r="L22" s="22"/>
      <c r="M22" s="7"/>
      <c r="N22" s="7"/>
      <c r="O22" s="7"/>
      <c r="P22" s="7"/>
    </row>
    <row r="23" customFormat="false" ht="12.8" hidden="false" customHeight="true" outlineLevel="0" collapsed="false">
      <c r="A23" s="10"/>
      <c r="B23" s="10"/>
      <c r="C23" s="10"/>
      <c r="D23" s="10"/>
      <c r="E23" s="10"/>
      <c r="F23" s="10"/>
      <c r="G23" s="11"/>
      <c r="H23" s="11"/>
      <c r="I23" s="10"/>
      <c r="J23" s="12"/>
      <c r="K23" s="10"/>
      <c r="L23" s="22"/>
      <c r="M23" s="7"/>
      <c r="N23" s="7"/>
      <c r="O23" s="7"/>
      <c r="P23" s="7"/>
    </row>
    <row r="24" customFormat="false" ht="12.8" hidden="false" customHeight="true" outlineLevel="0" collapsed="false">
      <c r="A24" s="10"/>
      <c r="B24" s="10"/>
      <c r="C24" s="10"/>
      <c r="D24" s="10"/>
      <c r="E24" s="10"/>
      <c r="F24" s="10"/>
      <c r="G24" s="11"/>
      <c r="H24" s="11"/>
      <c r="I24" s="10"/>
      <c r="J24" s="12"/>
      <c r="K24" s="10"/>
      <c r="L24" s="22"/>
      <c r="M24" s="7"/>
      <c r="N24" s="7"/>
      <c r="O24" s="7"/>
      <c r="P24" s="7"/>
    </row>
    <row r="25" customFormat="false" ht="12.8" hidden="false" customHeight="true" outlineLevel="0" collapsed="false">
      <c r="A25" s="10"/>
      <c r="B25" s="10"/>
      <c r="C25" s="10"/>
      <c r="D25" s="10"/>
      <c r="E25" s="10"/>
      <c r="F25" s="10"/>
      <c r="G25" s="11"/>
      <c r="H25" s="11"/>
      <c r="I25" s="10"/>
      <c r="J25" s="12"/>
      <c r="K25" s="10"/>
      <c r="L25" s="22"/>
      <c r="M25" s="21"/>
      <c r="N25" s="7"/>
      <c r="O25" s="21"/>
      <c r="P25" s="7"/>
    </row>
    <row r="26" customFormat="false" ht="12.8" hidden="false" customHeight="true" outlineLevel="0" collapsed="false">
      <c r="A26" s="23"/>
      <c r="B26" s="23"/>
      <c r="C26" s="23"/>
      <c r="D26" s="23"/>
      <c r="E26" s="23"/>
      <c r="F26" s="23"/>
      <c r="G26" s="11"/>
      <c r="H26" s="11"/>
      <c r="I26" s="23"/>
      <c r="J26" s="12"/>
      <c r="K26" s="23"/>
      <c r="L26" s="13"/>
      <c r="M26" s="23"/>
      <c r="N26" s="7"/>
      <c r="O26" s="23"/>
      <c r="P26" s="7"/>
    </row>
    <row r="29" customFormat="false" ht="12.8" hidden="false" customHeight="true" outlineLevel="0" collapsed="false">
      <c r="G29" s="24"/>
      <c r="H29" s="24"/>
    </row>
    <row r="30" customFormat="false" ht="12.8" hidden="false" customHeight="true" outlineLevel="0" collapsed="false">
      <c r="A30" s="20"/>
      <c r="B30" s="20"/>
      <c r="C30" s="20"/>
      <c r="D30" s="20"/>
      <c r="E30" s="20"/>
      <c r="G30" s="24"/>
      <c r="H30" s="24"/>
      <c r="I30" s="2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1181</TotalTime>
  <Application>LibreOffice/7.4.4.2$Windows_X86_64 LibreOffice_project/85569322deea74ec9134968a29af2df5663baa21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2025-08-16T16:13:56Z</dcterms:created>
  <dc:creator/>
  <dc:description/>
  <dc:language>pt-BR</dc:language>
  <cp:lastModifiedBy/>
  <dcterms:modified xsi:type="dcterms:W3CDTF">2026-01-12T15:44:25Z</dcterms:modified>
  <cp:revision>207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