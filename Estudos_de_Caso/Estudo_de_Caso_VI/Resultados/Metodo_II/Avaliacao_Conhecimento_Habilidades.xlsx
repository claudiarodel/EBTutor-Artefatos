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<sst xmlns="http://schemas.openxmlformats.org/spreadsheetml/2006/main" count="26" uniqueCount="14">
  <si>
    <t xml:space="preserve">Grupo</t>
  </si>
  <si>
    <t xml:space="preserve">Q – 1ª Tentativa</t>
  </si>
  <si>
    <t xml:space="preserve">Q- 2º Tentativa</t>
  </si>
  <si>
    <t xml:space="preserve">Variação Das Notas</t>
  </si>
  <si>
    <t xml:space="preserve">Número De Tentativas Feitas</t>
  </si>
  <si>
    <t xml:space="preserve">Q- º Tentativa</t>
  </si>
  <si>
    <t xml:space="preserve">Q- 4º Tentativa</t>
  </si>
  <si>
    <t xml:space="preserve">Ganho Normalizado EB</t>
  </si>
  <si>
    <t xml:space="preserve">Ganho Normalizado NEB</t>
  </si>
  <si>
    <t xml:space="preserve">média</t>
  </si>
  <si>
    <t xml:space="preserve">mediana</t>
  </si>
  <si>
    <t xml:space="preserve">DP</t>
  </si>
  <si>
    <t xml:space="preserve">intervencao</t>
  </si>
  <si>
    <t xml:space="preserve">controle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</si>
</sst>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#,##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b val="true"/>
      <sz val="12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9900"/>
        <bgColor rgb="FFFF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11.53515625" defaultRowHeight="12.8" zeroHeight="false" outlineLevelRow="0" outlineLevelCol="0"/>
  <cols>
    <col collapsed="false" customWidth="true" hidden="false" outlineLevel="0" max="7" min="7" style="1" width="22.44"/>
    <col collapsed="false" customWidth="true" hidden="false" outlineLevel="0" max="8" min="8" style="1" width="24.11"/>
    <col collapsed="false" customWidth="true" hidden="false" outlineLevel="0" max="9" min="9" style="1" width="25.63"/>
    <col collapsed="false" customWidth="false" hidden="false" outlineLevel="0" max="10" min="10" style="1" width="11.53"/>
  </cols>
  <sheetData>
    <row r="1" customFormat="false" ht="12.8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4" t="s">
        <v>8</v>
      </c>
      <c r="J1" s="5"/>
      <c r="K1" s="5" t="s">
        <v>9</v>
      </c>
      <c r="L1" s="5" t="s">
        <v>10</v>
      </c>
      <c r="M1" s="5" t="s">
        <v>11</v>
      </c>
    </row>
    <row r="2" customFormat="false" ht="12.8" hidden="false" customHeight="true" outlineLevel="0" collapsed="false">
      <c r="A2" s="6" t="s">
        <v>12</v>
      </c>
      <c r="B2" s="7" t="n">
        <v>6</v>
      </c>
      <c r="C2" s="8" t="n">
        <v>10</v>
      </c>
      <c r="D2" s="8"/>
      <c r="E2" s="8" t="n">
        <v>2</v>
      </c>
      <c r="F2" s="8"/>
      <c r="G2" s="8"/>
      <c r="H2" s="8" t="n">
        <f aca="false">IF($E2=1, 0, (MAX($G2,$F2,$C2,$B2)-$B2)/($E2-1))</f>
        <v>4</v>
      </c>
      <c r="I2" s="8"/>
      <c r="J2" s="5" t="s">
        <v>12</v>
      </c>
      <c r="K2" s="5" t="n">
        <v>3.22222222222222</v>
      </c>
      <c r="L2" s="5" t="n">
        <v>4</v>
      </c>
      <c r="M2" s="5" t="n">
        <v>1.71593835683117</v>
      </c>
    </row>
    <row r="3" customFormat="false" ht="12.8" hidden="false" customHeight="true" outlineLevel="0" collapsed="false">
      <c r="A3" s="9" t="s">
        <v>12</v>
      </c>
      <c r="B3" s="7" t="n">
        <v>6</v>
      </c>
      <c r="C3" s="8" t="n">
        <v>10</v>
      </c>
      <c r="D3" s="8"/>
      <c r="E3" s="8" t="n">
        <v>2</v>
      </c>
      <c r="F3" s="8"/>
      <c r="G3" s="8"/>
      <c r="H3" s="8" t="n">
        <f aca="false">IF($E3=1, 0, (MAX($G3,$F3,$C3,$B3)-$B3)/($E3-1))</f>
        <v>4</v>
      </c>
      <c r="I3" s="8"/>
      <c r="J3" s="10"/>
      <c r="K3" s="10"/>
      <c r="L3" s="5"/>
      <c r="M3" s="5"/>
    </row>
    <row r="4" customFormat="false" ht="12.8" hidden="false" customHeight="true" outlineLevel="0" collapsed="false">
      <c r="A4" s="9" t="s">
        <v>12</v>
      </c>
      <c r="B4" s="7" t="n">
        <v>4</v>
      </c>
      <c r="C4" s="7"/>
      <c r="D4" s="8"/>
      <c r="E4" s="8" t="n">
        <v>3</v>
      </c>
      <c r="F4" s="8" t="n">
        <v>10</v>
      </c>
      <c r="G4" s="8"/>
      <c r="H4" s="8" t="n">
        <f aca="false">IF($E4=1, 0, (MAX($G4,$F4,$C4,$B4)-$B4)/($E4-1))</f>
        <v>3</v>
      </c>
      <c r="I4" s="8"/>
      <c r="J4" s="11" t="s">
        <v>13</v>
      </c>
      <c r="K4" s="5" t="n">
        <f aca="false">AVERAGE(I2:I13)</f>
        <v>0.5</v>
      </c>
      <c r="L4" s="5" t="n">
        <f aca="false">MEDIAN(I2:I13)</f>
        <v>0</v>
      </c>
      <c r="M4" s="5" t="n">
        <f aca="false">STDEV(I2:I13)</f>
        <v>1</v>
      </c>
    </row>
    <row r="5" customFormat="false" ht="12.8" hidden="false" customHeight="true" outlineLevel="0" collapsed="false">
      <c r="A5" s="12" t="s">
        <v>13</v>
      </c>
      <c r="B5" s="13" t="n">
        <v>8</v>
      </c>
      <c r="C5" s="13" t="n">
        <v>8</v>
      </c>
      <c r="D5" s="14"/>
      <c r="E5" s="14" t="n">
        <v>2</v>
      </c>
      <c r="F5" s="14"/>
      <c r="G5" s="14"/>
      <c r="H5" s="15"/>
      <c r="I5" s="14" t="n">
        <f aca="false">IF($E5=1, 0, (MAX($G5,$F5,$C5,$B5)-$B5)/($E5-1))</f>
        <v>0</v>
      </c>
      <c r="J5" s="16"/>
      <c r="K5" s="17"/>
      <c r="L5" s="17"/>
      <c r="M5" s="17"/>
    </row>
    <row r="6" customFormat="false" ht="12.8" hidden="false" customHeight="true" outlineLevel="0" collapsed="false">
      <c r="A6" s="9" t="s">
        <v>12</v>
      </c>
      <c r="B6" s="7" t="n">
        <v>4</v>
      </c>
      <c r="C6" s="8" t="n">
        <v>10</v>
      </c>
      <c r="D6" s="8"/>
      <c r="E6" s="8" t="n">
        <v>2</v>
      </c>
      <c r="F6" s="8"/>
      <c r="G6" s="8"/>
      <c r="H6" s="8" t="n">
        <f aca="false">IF($E6=1, 0, (MAX($G6,$F6,$C6,$B6)-$B6)/($E6-1))</f>
        <v>6</v>
      </c>
      <c r="I6" s="8"/>
      <c r="J6" s="16"/>
      <c r="K6" s="17"/>
      <c r="L6" s="17"/>
      <c r="M6" s="17"/>
    </row>
    <row r="7" customFormat="false" ht="12.8" hidden="false" customHeight="true" outlineLevel="0" collapsed="false">
      <c r="A7" s="12" t="s">
        <v>13</v>
      </c>
      <c r="B7" s="13" t="n">
        <v>8</v>
      </c>
      <c r="C7" s="14" t="n">
        <v>10</v>
      </c>
      <c r="D7" s="14"/>
      <c r="E7" s="14" t="n">
        <v>2</v>
      </c>
      <c r="F7" s="14"/>
      <c r="G7" s="14"/>
      <c r="H7" s="14"/>
      <c r="I7" s="14" t="n">
        <f aca="false">IF($E7=1, 0, (MAX($G7,$F7,$C7,$B7)-$B7)/($E7-1))</f>
        <v>2</v>
      </c>
      <c r="J7" s="16"/>
      <c r="K7" s="17"/>
      <c r="L7" s="17"/>
      <c r="M7" s="17"/>
    </row>
    <row r="8" customFormat="false" ht="12.8" hidden="false" customHeight="true" outlineLevel="0" collapsed="false">
      <c r="A8" s="12" t="s">
        <v>13</v>
      </c>
      <c r="B8" s="13" t="n">
        <v>0</v>
      </c>
      <c r="C8" s="14" t="n">
        <v>0</v>
      </c>
      <c r="D8" s="14"/>
      <c r="E8" s="14" t="n">
        <v>1</v>
      </c>
      <c r="F8" s="14"/>
      <c r="G8" s="14"/>
      <c r="H8" s="14"/>
      <c r="I8" s="14" t="n">
        <f aca="false">IF($E8=1, 0, (MAX($G8,$F8,$C8,$B8)-$B8)/($E8-1))</f>
        <v>0</v>
      </c>
      <c r="J8" s="16"/>
      <c r="K8" s="17"/>
      <c r="L8" s="17"/>
      <c r="M8" s="17"/>
    </row>
    <row r="9" customFormat="false" ht="12.8" hidden="false" customHeight="true" outlineLevel="0" collapsed="false">
      <c r="A9" s="9" t="s">
        <v>12</v>
      </c>
      <c r="B9" s="7" t="n">
        <v>6</v>
      </c>
      <c r="C9" s="8" t="n">
        <v>10</v>
      </c>
      <c r="D9" s="8"/>
      <c r="E9" s="8" t="n">
        <v>2</v>
      </c>
      <c r="F9" s="8"/>
      <c r="G9" s="8"/>
      <c r="H9" s="8" t="n">
        <f aca="false">IF($E9=1, 0, (MAX($G9,$F9,$C9,$B9)-$B9)/($E9-1))</f>
        <v>4</v>
      </c>
      <c r="I9" s="8"/>
      <c r="J9" s="16"/>
      <c r="K9" s="17"/>
      <c r="L9" s="17"/>
      <c r="M9" s="17"/>
    </row>
    <row r="10" customFormat="false" ht="12.8" hidden="false" customHeight="true" outlineLevel="0" collapsed="false">
      <c r="A10" s="9" t="s">
        <v>12</v>
      </c>
      <c r="B10" s="8" t="n">
        <v>8</v>
      </c>
      <c r="C10" s="8" t="n">
        <v>10</v>
      </c>
      <c r="D10" s="8"/>
      <c r="E10" s="8" t="n">
        <v>2</v>
      </c>
      <c r="F10" s="8"/>
      <c r="G10" s="8"/>
      <c r="H10" s="8" t="n">
        <f aca="false">IF($E10=1, 0, (MAX($G10,$F10,$C10,$B10)-$B10)/($E10-1))</f>
        <v>2</v>
      </c>
      <c r="I10" s="7"/>
      <c r="J10" s="16"/>
      <c r="K10" s="17"/>
      <c r="L10" s="17"/>
      <c r="M10" s="17"/>
    </row>
    <row r="11" s="18" customFormat="true" ht="12.8" hidden="false" customHeight="true" outlineLevel="0" collapsed="false">
      <c r="A11" s="12" t="s">
        <v>13</v>
      </c>
      <c r="B11" s="14" t="n">
        <v>0</v>
      </c>
      <c r="C11" s="14" t="n">
        <v>0</v>
      </c>
      <c r="D11" s="14"/>
      <c r="E11" s="14" t="n">
        <v>1</v>
      </c>
      <c r="F11" s="14"/>
      <c r="G11" s="14"/>
      <c r="H11" s="15"/>
      <c r="I11" s="14" t="n">
        <f aca="false">IF($E11=1, 0, (MAX($G11,$F11,$C11,$B11)-$B11)/($E11-1))</f>
        <v>0</v>
      </c>
      <c r="J11" s="16"/>
      <c r="K11" s="17"/>
      <c r="L11" s="17"/>
      <c r="M11" s="17"/>
      <c r="N11" s="1"/>
      <c r="O11" s="1"/>
    </row>
    <row r="12" s="18" customFormat="true" ht="12.8" hidden="false" customHeight="true" outlineLevel="0" collapsed="false">
      <c r="A12" s="9" t="s">
        <v>12</v>
      </c>
      <c r="B12" s="7" t="n">
        <v>2</v>
      </c>
      <c r="C12" s="7"/>
      <c r="D12" s="7"/>
      <c r="E12" s="7" t="n">
        <v>3</v>
      </c>
      <c r="F12" s="7" t="n">
        <v>10</v>
      </c>
      <c r="G12" s="19"/>
      <c r="H12" s="8" t="n">
        <f aca="false">IF($E12=1, 0, (MAX($G12,$F12,$C12,$B12)-$B12)/($E12-1))</f>
        <v>4</v>
      </c>
      <c r="I12" s="19"/>
      <c r="J12" s="16"/>
      <c r="K12" s="17"/>
      <c r="L12" s="17"/>
      <c r="M12" s="17"/>
      <c r="N12" s="1"/>
      <c r="O12" s="1"/>
    </row>
    <row r="13" s="18" customFormat="true" ht="12.8" hidden="false" customHeight="true" outlineLevel="0" collapsed="false">
      <c r="A13" s="9" t="s">
        <v>12</v>
      </c>
      <c r="B13" s="7" t="n">
        <v>6</v>
      </c>
      <c r="C13" s="8" t="n">
        <v>8</v>
      </c>
      <c r="D13" s="8"/>
      <c r="E13" s="8" t="n">
        <v>2</v>
      </c>
      <c r="F13" s="8"/>
      <c r="G13" s="8"/>
      <c r="H13" s="8" t="n">
        <f aca="false">IF($E13=1, 0, (MAX($G13,$F13,$C13,$B13)-$B13)/($E13-1))</f>
        <v>2</v>
      </c>
      <c r="I13" s="8"/>
      <c r="J13" s="20"/>
      <c r="K13" s="17"/>
      <c r="L13" s="17"/>
      <c r="M13" s="17"/>
      <c r="N13" s="1"/>
      <c r="O13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481</TotalTime>
  <Application>LibreOffice/7.4.4.2$Windows_X86_64 LibreOffice_project/85569322deea74ec9134968a29af2df5663baa21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2025-10-17T13:52:38Z</dcterms:created>
  <dc:creator/>
  <dc:description/>
  <dc:language>pt-BR</dc:language>
  <cp:lastModifiedBy/>
  <dcterms:modified xsi:type="dcterms:W3CDTF">2026-01-12T15:57:52Z</dcterms:modified>
  <cp:revision>124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