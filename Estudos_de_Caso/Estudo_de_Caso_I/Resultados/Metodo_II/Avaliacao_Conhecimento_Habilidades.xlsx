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<sst xmlns="http://schemas.openxmlformats.org/spreadsheetml/2006/main" count="333" uniqueCount="176">
  <si>
    <t xml:space="preserve">Número</t>
  </si>
  <si>
    <t xml:space="preserve">Grupo</t>
  </si>
  <si>
    <t xml:space="preserve">Q – 1ª Tentativa</t>
  </si>
  <si>
    <t xml:space="preserve">Q- 2º Tentativa</t>
  </si>
  <si>
    <t xml:space="preserve">Variação Das Notas</t>
  </si>
  <si>
    <t xml:space="preserve">Número De Tentativas Feitas</t>
  </si>
  <si>
    <t xml:space="preserve">Q- º Tentativa</t>
  </si>
  <si>
    <t xml:space="preserve">Q- 4º Tentativa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</si>
  <si>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</si>
  <si>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</si>
  <si>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</si>
  <si>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</si>
  <si>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DP</t>
  </si>
  <si>
    <t xml:space="preserve">25376-q1</t>
  </si>
  <si>
    <t xml:space="preserve">controle</t>
  </si>
  <si>
    <t xml:space="preserve">intervenção</t>
  </si>
  <si>
    <t xml:space="preserve">31506-q1</t>
  </si>
  <si>
    <t xml:space="preserve">88086-q1</t>
  </si>
  <si>
    <t xml:space="preserve">24610-q1</t>
  </si>
  <si>
    <t xml:space="preserve">49399-q1</t>
  </si>
  <si>
    <t xml:space="preserve">19502-q1</t>
  </si>
  <si>
    <t xml:space="preserve">49789-q1</t>
  </si>
  <si>
    <t xml:space="preserve">13063-q1</t>
  </si>
  <si>
    <t xml:space="preserve">24706-q1</t>
  </si>
  <si>
    <t xml:space="preserve">25376-q2</t>
  </si>
  <si>
    <t xml:space="preserve">6507-q2</t>
  </si>
  <si>
    <t xml:space="preserve">20323-q2</t>
  </si>
  <si>
    <t xml:space="preserve">7820-q2</t>
  </si>
  <si>
    <t xml:space="preserve">intervencao</t>
  </si>
  <si>
    <t xml:space="preserve">31506-q2</t>
  </si>
  <si>
    <t xml:space="preserve">88086-q2</t>
  </si>
  <si>
    <t xml:space="preserve">24610-q2</t>
  </si>
  <si>
    <t xml:space="preserve">46761-q2</t>
  </si>
  <si>
    <t xml:space="preserve">49399-q2</t>
  </si>
  <si>
    <t xml:space="preserve">7918-q2</t>
  </si>
  <si>
    <t xml:space="preserve">intrevencao</t>
  </si>
  <si>
    <t xml:space="preserve">19502-q2</t>
  </si>
  <si>
    <t xml:space="preserve">13063-q2</t>
  </si>
  <si>
    <t xml:space="preserve">25376-q3</t>
  </si>
  <si>
    <t xml:space="preserve">6507-q3</t>
  </si>
  <si>
    <t xml:space="preserve">20323-q3</t>
  </si>
  <si>
    <t xml:space="preserve">31506-q3</t>
  </si>
  <si>
    <t xml:space="preserve">46761-q3</t>
  </si>
  <si>
    <t xml:space="preserve">13063-q3</t>
  </si>
  <si>
    <t xml:space="preserve">25376-q4</t>
  </si>
  <si>
    <t xml:space="preserve">20323-q4</t>
  </si>
  <si>
    <t xml:space="preserve">7820-q4</t>
  </si>
  <si>
    <t xml:space="preserve">31506-q4</t>
  </si>
  <si>
    <t xml:space="preserve">88086-q4</t>
  </si>
  <si>
    <t xml:space="preserve">49399-q4</t>
  </si>
  <si>
    <t xml:space="preserve">19502-q4</t>
  </si>
  <si>
    <t xml:space="preserve">10442-q4</t>
  </si>
  <si>
    <t xml:space="preserve">13063-q4</t>
  </si>
  <si>
    <t xml:space="preserve">23568-q4</t>
  </si>
  <si>
    <t xml:space="preserve">6507-q5</t>
  </si>
  <si>
    <t xml:space="preserve">7820-q5</t>
  </si>
  <si>
    <t xml:space="preserve">31506-q5</t>
  </si>
  <si>
    <t xml:space="preserve">88086-q5</t>
  </si>
  <si>
    <t xml:space="preserve">46761-q5</t>
  </si>
  <si>
    <t xml:space="preserve">49399-q5</t>
  </si>
  <si>
    <t xml:space="preserve">25376-q6</t>
  </si>
  <si>
    <t xml:space="preserve">6507-q6</t>
  </si>
  <si>
    <t xml:space="preserve">88086-q6</t>
  </si>
  <si>
    <t xml:space="preserve">24610-q6</t>
  </si>
  <si>
    <t xml:space="preserve">49399-q6</t>
  </si>
  <si>
    <t xml:space="preserve">49789-q6</t>
  </si>
  <si>
    <t xml:space="preserve">25376-q7</t>
  </si>
  <si>
    <t xml:space="preserve">6507-q7</t>
  </si>
  <si>
    <t xml:space="preserve">7820-q7</t>
  </si>
  <si>
    <t xml:space="preserve">31506-q7</t>
  </si>
  <si>
    <t xml:space="preserve">49399-q7</t>
  </si>
  <si>
    <t xml:space="preserve">19502-q7</t>
  </si>
  <si>
    <t xml:space="preserve">10442-q7</t>
  </si>
  <si>
    <t xml:space="preserve">13063-q7</t>
  </si>
  <si>
    <t xml:space="preserve">24706-q7</t>
  </si>
  <si>
    <t xml:space="preserve">25376-q8</t>
  </si>
  <si>
    <t xml:space="preserve">20323-q8</t>
  </si>
  <si>
    <t xml:space="preserve">7820-q8</t>
  </si>
  <si>
    <t xml:space="preserve">49399-q8</t>
  </si>
  <si>
    <t xml:space="preserve">7918-q8</t>
  </si>
  <si>
    <t xml:space="preserve">49789-q8</t>
  </si>
  <si>
    <t xml:space="preserve">25376-q9</t>
  </si>
  <si>
    <t xml:space="preserve">6507-q9</t>
  </si>
  <si>
    <t xml:space="preserve">7820-q9</t>
  </si>
  <si>
    <t xml:space="preserve">88086-q9</t>
  </si>
  <si>
    <t xml:space="preserve">10442-q9</t>
  </si>
  <si>
    <t xml:space="preserve">49789-q9</t>
  </si>
  <si>
    <t xml:space="preserve">2396-q1</t>
  </si>
  <si>
    <t xml:space="preserve">3990-q1</t>
  </si>
  <si>
    <t xml:space="preserve">6043-q1</t>
  </si>
  <si>
    <t xml:space="preserve">12516-q1</t>
  </si>
  <si>
    <t xml:space="preserve">13625-q1</t>
  </si>
  <si>
    <t xml:space="preserve">35041-q1</t>
  </si>
  <si>
    <t xml:space="preserve">47744-q1</t>
  </si>
  <si>
    <t xml:space="preserve">49465-q1</t>
  </si>
  <si>
    <t xml:space="preserve">74776-q1</t>
  </si>
  <si>
    <t xml:space="preserve">74810-q1</t>
  </si>
  <si>
    <t xml:space="preserve">3990-q2</t>
  </si>
  <si>
    <t xml:space="preserve">12312-q2</t>
  </si>
  <si>
    <t xml:space="preserve">23083-q2</t>
  </si>
  <si>
    <t xml:space="preserve">25826-q2</t>
  </si>
  <si>
    <t xml:space="preserve">33128-q2</t>
  </si>
  <si>
    <t xml:space="preserve">34040-q2</t>
  </si>
  <si>
    <t xml:space="preserve">34792-q2</t>
  </si>
  <si>
    <t xml:space="preserve">35041-q2</t>
  </si>
  <si>
    <t xml:space="preserve">47744-q2</t>
  </si>
  <si>
    <t xml:space="preserve">48838-q2</t>
  </si>
  <si>
    <t xml:space="preserve">49465-q2</t>
  </si>
  <si>
    <t xml:space="preserve">52774-q2</t>
  </si>
  <si>
    <t xml:space="preserve">74737-q2</t>
  </si>
  <si>
    <t xml:space="preserve">74810-q2</t>
  </si>
  <si>
    <t xml:space="preserve">144700-q2</t>
  </si>
  <si>
    <t xml:space="preserve">21562-q2</t>
  </si>
  <si>
    <t xml:space="preserve">2396-q3</t>
  </si>
  <si>
    <t xml:space="preserve">3990-q3</t>
  </si>
  <si>
    <t xml:space="preserve">7354-q3</t>
  </si>
  <si>
    <t xml:space="preserve">25826-q3</t>
  </si>
  <si>
    <t xml:space="preserve">49477-q3</t>
  </si>
  <si>
    <t xml:space="preserve">74810-q3</t>
  </si>
  <si>
    <t xml:space="preserve">21562-q3</t>
  </si>
  <si>
    <t xml:space="preserve">6043-q4</t>
  </si>
  <si>
    <t xml:space="preserve">12516-q4</t>
  </si>
  <si>
    <t xml:space="preserve">25579-q4</t>
  </si>
  <si>
    <t xml:space="preserve">34792-q4</t>
  </si>
  <si>
    <t xml:space="preserve">35041-q4</t>
  </si>
  <si>
    <t xml:space="preserve">74810-q4</t>
  </si>
  <si>
    <t xml:space="preserve">21562-q4</t>
  </si>
  <si>
    <t xml:space="preserve">6043-q5</t>
  </si>
  <si>
    <t xml:space="preserve">7354-q5</t>
  </si>
  <si>
    <t xml:space="preserve">7625-q5</t>
  </si>
  <si>
    <t xml:space="preserve">12516-q5</t>
  </si>
  <si>
    <t xml:space="preserve">13063-q5</t>
  </si>
  <si>
    <t xml:space="preserve">13625-q5</t>
  </si>
  <si>
    <t xml:space="preserve">35041-q5</t>
  </si>
  <si>
    <t xml:space="preserve">49465-q5</t>
  </si>
  <si>
    <t xml:space="preserve">74737-q5</t>
  </si>
  <si>
    <t xml:space="preserve">74776-q5</t>
  </si>
  <si>
    <t xml:space="preserve">21562-q5</t>
  </si>
  <si>
    <t xml:space="preserve">7354-q6</t>
  </si>
  <si>
    <t xml:space="preserve">7625-q6</t>
  </si>
  <si>
    <t xml:space="preserve">12312-q6</t>
  </si>
  <si>
    <t xml:space="preserve">12516-q6</t>
  </si>
  <si>
    <t xml:space="preserve">23083-q6</t>
  </si>
  <si>
    <t xml:space="preserve">25826-q6</t>
  </si>
  <si>
    <t xml:space="preserve">33128-q6</t>
  </si>
  <si>
    <t xml:space="preserve">34792-q6</t>
  </si>
  <si>
    <t xml:space="preserve">35041-q6</t>
  </si>
  <si>
    <t xml:space="preserve">47744-q6</t>
  </si>
  <si>
    <t xml:space="preserve">48838-q6</t>
  </si>
  <si>
    <t xml:space="preserve">49477-q6</t>
  </si>
  <si>
    <t xml:space="preserve">52774-q6</t>
  </si>
  <si>
    <t xml:space="preserve">74737-q6</t>
  </si>
  <si>
    <t xml:space="preserve">74776-q6</t>
  </si>
  <si>
    <t xml:space="preserve">74810-q6</t>
  </si>
  <si>
    <t xml:space="preserve">21562-q6</t>
  </si>
  <si>
    <t xml:space="preserve">7354-q7</t>
  </si>
  <si>
    <t xml:space="preserve">13625-q7</t>
  </si>
  <si>
    <t xml:space="preserve">25579-q7</t>
  </si>
  <si>
    <t xml:space="preserve">34040-q7</t>
  </si>
  <si>
    <t xml:space="preserve">35041-q7</t>
  </si>
  <si>
    <t xml:space="preserve">49477-q7</t>
  </si>
  <si>
    <t xml:space="preserve">74776-q7</t>
  </si>
  <si>
    <t xml:space="preserve">74810-q7</t>
  </si>
  <si>
    <t xml:space="preserve">21562-q7</t>
  </si>
  <si>
    <t xml:space="preserve">6043-q8</t>
  </si>
  <si>
    <t xml:space="preserve">7354-q8</t>
  </si>
  <si>
    <t xml:space="preserve">12516-q8</t>
  </si>
  <si>
    <t xml:space="preserve">13625-q8</t>
  </si>
  <si>
    <t xml:space="preserve">2396-q9</t>
  </si>
  <si>
    <t xml:space="preserve">6043-q9</t>
  </si>
  <si>
    <t xml:space="preserve">7354-q9</t>
  </si>
  <si>
    <t xml:space="preserve">12516-q9</t>
  </si>
  <si>
    <t xml:space="preserve">25579-q9</t>
  </si>
  <si>
    <t xml:space="preserve">48838-q9</t>
  </si>
  <si>
    <t xml:space="preserve">49477-q9</t>
  </si>
  <si>
    <t xml:space="preserve">74810-q9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</si>
</sst>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0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B159" activeCellId="0" sqref="B159"/>
    </sheetView>
  </sheetViews>
  <sheetFormatPr defaultColWidth="11.53515625" defaultRowHeight="12.8" zeroHeight="false" outlineLevelRow="0" outlineLevelCol="0"/>
  <cols>
    <col collapsed="false" customWidth="true" hidden="false" outlineLevel="0" max="9" min="9" style="1" width="22.44"/>
    <col collapsed="false" customWidth="true" hidden="false" outlineLevel="0" max="10" min="10" style="1" width="21.7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L1" s="1" t="s">
        <v>10</v>
      </c>
      <c r="M1" s="1" t="s">
        <v>11</v>
      </c>
      <c r="N1" s="1" t="s">
        <v>12</v>
      </c>
    </row>
    <row r="2" customFormat="false" ht="12.8" hidden="false" customHeight="true" outlineLevel="0" collapsed="false">
      <c r="A2" s="5" t="s">
        <v>13</v>
      </c>
      <c r="B2" s="5" t="s">
        <v>14</v>
      </c>
      <c r="C2" s="6" t="n">
        <v>6.25</v>
      </c>
      <c r="D2" s="7" t="n">
        <v>8.75</v>
      </c>
      <c r="E2" s="7"/>
      <c r="F2" s="7" t="n">
        <v>2</v>
      </c>
      <c r="G2" s="7"/>
      <c r="H2" s="7"/>
      <c r="I2" s="8"/>
      <c r="J2" s="8" t="n">
        <f aca="false">IF($F2=1, 0, (MAX($H2,$G2,$D2,$C2)-$C2)/($F2-1))</f>
        <v>2.5</v>
      </c>
      <c r="K2" s="1" t="s">
        <v>15</v>
      </c>
      <c r="L2" s="9" t="n">
        <f aca="false">AVERAGE(I23:I160)</f>
        <v>1.82008504905057</v>
      </c>
      <c r="M2" s="9" t="n">
        <f aca="false">MEDIAN(I23:I160)</f>
        <v>1.53846153846154</v>
      </c>
      <c r="N2" s="9" t="n">
        <f aca="false">STDEV(I23:I160)</f>
        <v>0.898640881350651</v>
      </c>
    </row>
    <row r="3" customFormat="false" ht="12.8" hidden="false" customHeight="true" outlineLevel="0" collapsed="false">
      <c r="A3" s="5" t="s">
        <v>16</v>
      </c>
      <c r="B3" s="5" t="s">
        <v>14</v>
      </c>
      <c r="C3" s="6" t="n">
        <v>6.25</v>
      </c>
      <c r="D3" s="7" t="n">
        <v>10</v>
      </c>
      <c r="E3" s="7"/>
      <c r="F3" s="7" t="n">
        <v>2</v>
      </c>
      <c r="G3" s="7"/>
      <c r="H3" s="7"/>
      <c r="I3" s="8"/>
      <c r="J3" s="8" t="n">
        <f aca="false">IF($F3=1, 0, (MAX($H3,$G3,$D3,$C3)-$C3)/($F3-1))</f>
        <v>3.75</v>
      </c>
      <c r="L3" s="9"/>
      <c r="M3" s="9"/>
    </row>
    <row r="4" customFormat="false" ht="12.8" hidden="false" customHeight="true" outlineLevel="0" collapsed="false">
      <c r="A4" s="5" t="s">
        <v>17</v>
      </c>
      <c r="B4" s="5" t="s">
        <v>14</v>
      </c>
      <c r="C4" s="6" t="n">
        <v>8.75</v>
      </c>
      <c r="D4" s="7" t="n">
        <v>10</v>
      </c>
      <c r="E4" s="7"/>
      <c r="F4" s="7" t="n">
        <v>2</v>
      </c>
      <c r="G4" s="7"/>
      <c r="H4" s="7"/>
      <c r="I4" s="8"/>
      <c r="J4" s="8" t="n">
        <f aca="false">IF($F4=1, 0, (MAX($H4,$G4,$D4,$C4)-$C4)/($F4-1))</f>
        <v>1.25</v>
      </c>
      <c r="L4" s="9"/>
      <c r="M4" s="9"/>
    </row>
    <row r="5" customFormat="false" ht="12.8" hidden="false" customHeight="true" outlineLevel="0" collapsed="false">
      <c r="A5" s="5" t="s">
        <v>18</v>
      </c>
      <c r="B5" s="5" t="s">
        <v>14</v>
      </c>
      <c r="C5" s="6" t="n">
        <v>8.75</v>
      </c>
      <c r="D5" s="7" t="n">
        <v>10</v>
      </c>
      <c r="E5" s="7"/>
      <c r="F5" s="7" t="n">
        <v>2</v>
      </c>
      <c r="G5" s="7"/>
      <c r="H5" s="7"/>
      <c r="I5" s="8"/>
      <c r="J5" s="8" t="n">
        <f aca="false">IF($F5=1, 0, (MAX($H5,$G5,$D5,$C5)-$C5)/($F5-1))</f>
        <v>1.25</v>
      </c>
      <c r="K5" s="1" t="s">
        <v>14</v>
      </c>
      <c r="L5" s="9" t="n">
        <f aca="false">AVERAGE(J23:J160)</f>
        <v>1.39846477052359</v>
      </c>
      <c r="M5" s="9" t="n">
        <f aca="false">MEDIAN(J23:J160)</f>
        <v>1.42857142857143</v>
      </c>
      <c r="N5" s="9" t="n">
        <f aca="false">STDEV(J23:J160)</f>
        <v>1.08931409912841</v>
      </c>
    </row>
    <row r="6" customFormat="false" ht="12.8" hidden="false" customHeight="true" outlineLevel="0" collapsed="false">
      <c r="A6" s="5" t="s">
        <v>19</v>
      </c>
      <c r="B6" s="5" t="s">
        <v>14</v>
      </c>
      <c r="C6" s="6" t="n">
        <v>8.75</v>
      </c>
      <c r="D6" s="10" t="n">
        <v>10</v>
      </c>
      <c r="E6" s="7"/>
      <c r="F6" s="7" t="n">
        <v>2</v>
      </c>
      <c r="G6" s="7"/>
      <c r="H6" s="7"/>
      <c r="I6" s="8"/>
      <c r="J6" s="8" t="n">
        <f aca="false">IF($F6=1, 0, (MAX($H6,$G6,$D6,$C6)-$C6)/($F6-1))</f>
        <v>1.25</v>
      </c>
    </row>
    <row r="7" customFormat="false" ht="12.8" hidden="false" customHeight="true" outlineLevel="0" collapsed="false">
      <c r="A7" s="5" t="s">
        <v>20</v>
      </c>
      <c r="B7" s="5" t="s">
        <v>14</v>
      </c>
      <c r="C7" s="11" t="n">
        <v>6.25</v>
      </c>
      <c r="D7" s="10" t="n">
        <v>10</v>
      </c>
      <c r="E7" s="7"/>
      <c r="F7" s="7" t="n">
        <v>2</v>
      </c>
      <c r="G7" s="7"/>
      <c r="H7" s="7"/>
      <c r="I7" s="8"/>
      <c r="J7" s="8" t="n">
        <f aca="false">IF($F7=1, 0, (MAX($H7,$G7,$D7,$C7)-$C7)/($F7-1))</f>
        <v>3.75</v>
      </c>
    </row>
    <row r="8" customFormat="false" ht="12.8" hidden="false" customHeight="true" outlineLevel="0" collapsed="false">
      <c r="A8" s="5" t="s">
        <v>21</v>
      </c>
      <c r="B8" s="5" t="s">
        <v>14</v>
      </c>
      <c r="C8" s="6" t="n">
        <v>8.75</v>
      </c>
      <c r="D8" s="7" t="n">
        <v>8.75</v>
      </c>
      <c r="E8" s="7"/>
      <c r="F8" s="7" t="n">
        <v>2</v>
      </c>
      <c r="G8" s="7"/>
      <c r="H8" s="7"/>
      <c r="I8" s="8"/>
      <c r="J8" s="8" t="n">
        <f aca="false">IF($F8=1, 0, (MAX($H8,$G8,$D8,$C8)-$C8)/($F8-1))</f>
        <v>0</v>
      </c>
    </row>
    <row r="9" customFormat="false" ht="12.8" hidden="false" customHeight="true" outlineLevel="0" collapsed="false">
      <c r="A9" s="5" t="s">
        <v>22</v>
      </c>
      <c r="B9" s="5" t="s">
        <v>14</v>
      </c>
      <c r="C9" s="12" t="n">
        <v>7.5</v>
      </c>
      <c r="D9" s="7" t="n">
        <v>10</v>
      </c>
      <c r="E9" s="7"/>
      <c r="F9" s="7" t="n">
        <v>2</v>
      </c>
      <c r="G9" s="7"/>
      <c r="H9" s="7"/>
      <c r="I9" s="8"/>
      <c r="J9" s="8" t="n">
        <f aca="false">IF($F9=1, 0, (MAX($H9,$G9,$D9,$C9)-$C9)/($F9-1))</f>
        <v>2.5</v>
      </c>
    </row>
    <row r="10" customFormat="false" ht="12.8" hidden="false" customHeight="true" outlineLevel="0" collapsed="false">
      <c r="A10" s="5" t="s">
        <v>23</v>
      </c>
      <c r="B10" s="5" t="s">
        <v>14</v>
      </c>
      <c r="C10" s="6" t="n">
        <v>8.75</v>
      </c>
      <c r="D10" s="7" t="n">
        <v>8.75</v>
      </c>
      <c r="E10" s="7"/>
      <c r="F10" s="7" t="n">
        <v>2</v>
      </c>
      <c r="G10" s="7"/>
      <c r="H10" s="7"/>
      <c r="I10" s="8"/>
      <c r="J10" s="8" t="n">
        <f aca="false">IF($F10=1, 0, (MAX($H10,$G10,$D10,$C10)-$C10)/($F10-1))</f>
        <v>0</v>
      </c>
    </row>
    <row r="11" customFormat="false" ht="12.8" hidden="false" customHeight="true" outlineLevel="0" collapsed="false">
      <c r="A11" s="5" t="s">
        <v>24</v>
      </c>
      <c r="B11" s="5" t="s">
        <v>14</v>
      </c>
      <c r="C11" s="7" t="n">
        <v>8</v>
      </c>
      <c r="D11" s="7" t="n">
        <v>10</v>
      </c>
      <c r="E11" s="7"/>
      <c r="F11" s="7" t="n">
        <v>2</v>
      </c>
      <c r="G11" s="7"/>
      <c r="H11" s="7"/>
      <c r="I11" s="7"/>
      <c r="J11" s="8" t="n">
        <f aca="false">IF($F11=1, 0, (MAX($H11,$G11,$D11,$C11)-$C11)/($F11-1))</f>
        <v>2</v>
      </c>
    </row>
    <row r="12" customFormat="false" ht="12.8" hidden="false" customHeight="true" outlineLevel="0" collapsed="false">
      <c r="A12" s="5" t="s">
        <v>25</v>
      </c>
      <c r="B12" s="5" t="s">
        <v>14</v>
      </c>
      <c r="C12" s="7" t="n">
        <v>7</v>
      </c>
      <c r="D12" s="11"/>
      <c r="E12" s="11"/>
      <c r="F12" s="7" t="n">
        <v>4</v>
      </c>
      <c r="G12" s="7"/>
      <c r="H12" s="7" t="n">
        <v>10</v>
      </c>
      <c r="I12" s="13"/>
      <c r="J12" s="8" t="n">
        <f aca="false">IF($F12=1, 0, (MAX($H12,$G12,$D12,$C12)-$C12)/($F12-1))</f>
        <v>1</v>
      </c>
    </row>
    <row r="13" customFormat="false" ht="12.8" hidden="false" customHeight="true" outlineLevel="0" collapsed="false">
      <c r="A13" s="5" t="s">
        <v>26</v>
      </c>
      <c r="B13" s="5" t="s">
        <v>14</v>
      </c>
      <c r="C13" s="7" t="n">
        <v>9</v>
      </c>
      <c r="D13" s="11"/>
      <c r="E13" s="11"/>
      <c r="F13" s="6" t="n">
        <v>4</v>
      </c>
      <c r="G13" s="7"/>
      <c r="H13" s="7" t="n">
        <v>10</v>
      </c>
      <c r="I13" s="13"/>
      <c r="J13" s="8" t="n">
        <f aca="false">IF($F13=1, 0, (MAX($H13,$G13,$D13,$C13)-$C13)/($F13-1))</f>
        <v>0.333333333333333</v>
      </c>
    </row>
    <row r="14" customFormat="false" ht="12.8" hidden="false" customHeight="true" outlineLevel="0" collapsed="false">
      <c r="A14" s="5" t="s">
        <v>27</v>
      </c>
      <c r="B14" s="5" t="s">
        <v>28</v>
      </c>
      <c r="C14" s="7" t="n">
        <v>5</v>
      </c>
      <c r="E14" s="14"/>
      <c r="F14" s="7" t="n">
        <v>3</v>
      </c>
      <c r="G14" s="11" t="n">
        <v>9</v>
      </c>
      <c r="H14" s="7"/>
      <c r="I14" s="7" t="n">
        <f aca="false">IF($F14=1, 0, (MAX($H14,$G14,$D14,$C14)-$C14)/($F14-1))</f>
        <v>2</v>
      </c>
      <c r="J14" s="8"/>
    </row>
    <row r="15" customFormat="false" ht="12.8" hidden="false" customHeight="true" outlineLevel="0" collapsed="false">
      <c r="A15" s="15" t="s">
        <v>29</v>
      </c>
      <c r="B15" s="5" t="s">
        <v>14</v>
      </c>
      <c r="C15" s="7" t="n">
        <v>7</v>
      </c>
      <c r="D15" s="11"/>
      <c r="E15" s="11"/>
      <c r="F15" s="7" t="n">
        <v>3</v>
      </c>
      <c r="G15" s="7"/>
      <c r="H15" s="7" t="n">
        <v>10</v>
      </c>
      <c r="I15" s="7"/>
      <c r="J15" s="8" t="n">
        <f aca="false">IF($F15=1, 0, (MAX($H15,$G15,$D15,$C15)-$C15)/($F15-1))</f>
        <v>1.5</v>
      </c>
    </row>
    <row r="16" customFormat="false" ht="12.8" hidden="false" customHeight="true" outlineLevel="0" collapsed="false">
      <c r="A16" s="15" t="s">
        <v>30</v>
      </c>
      <c r="B16" s="5" t="s">
        <v>14</v>
      </c>
      <c r="C16" s="7" t="n">
        <v>7</v>
      </c>
      <c r="D16" s="11" t="n">
        <v>10</v>
      </c>
      <c r="E16" s="11"/>
      <c r="F16" s="7" t="n">
        <v>2</v>
      </c>
      <c r="G16" s="7"/>
      <c r="H16" s="7"/>
      <c r="I16" s="7"/>
      <c r="J16" s="8" t="n">
        <f aca="false">IF($F16=1, 0, (MAX($H16,$G16,$D16,$C16)-$C16)/($F16-1))</f>
        <v>3</v>
      </c>
    </row>
    <row r="17" customFormat="false" ht="12.8" hidden="false" customHeight="true" outlineLevel="0" collapsed="false">
      <c r="A17" s="15" t="s">
        <v>31</v>
      </c>
      <c r="B17" s="5" t="s">
        <v>14</v>
      </c>
      <c r="C17" s="7" t="n">
        <v>7</v>
      </c>
      <c r="D17" s="11"/>
      <c r="E17" s="11"/>
      <c r="F17" s="7" t="n">
        <v>3</v>
      </c>
      <c r="G17" s="7"/>
      <c r="H17" s="7" t="n">
        <v>10</v>
      </c>
      <c r="I17" s="7"/>
      <c r="J17" s="8" t="n">
        <f aca="false">IF($F17=1, 0, (MAX($H17,$G17,$D17,$C17)-$C17)/($F17-1))</f>
        <v>1.5</v>
      </c>
    </row>
    <row r="18" customFormat="false" ht="12.8" hidden="false" customHeight="true" outlineLevel="0" collapsed="false">
      <c r="A18" s="15" t="s">
        <v>32</v>
      </c>
      <c r="B18" s="5" t="s">
        <v>28</v>
      </c>
      <c r="C18" s="7" t="n">
        <v>5</v>
      </c>
      <c r="D18" s="11" t="n">
        <v>8</v>
      </c>
      <c r="E18" s="11"/>
      <c r="F18" s="7" t="n">
        <v>2</v>
      </c>
      <c r="G18" s="7"/>
      <c r="H18" s="7"/>
      <c r="I18" s="7" t="n">
        <f aca="false">IF($F18=1, 0, (MAX($H18,$G18,$D18,$C18)-$C18)/($F18-1))</f>
        <v>3</v>
      </c>
      <c r="J18" s="8"/>
    </row>
    <row r="19" customFormat="false" ht="12.8" hidden="false" customHeight="true" outlineLevel="0" collapsed="false">
      <c r="A19" s="15" t="s">
        <v>33</v>
      </c>
      <c r="B19" s="5" t="s">
        <v>14</v>
      </c>
      <c r="C19" s="7" t="n">
        <v>8</v>
      </c>
      <c r="D19" s="11" t="n">
        <v>10</v>
      </c>
      <c r="E19" s="11"/>
      <c r="F19" s="7" t="n">
        <v>2</v>
      </c>
      <c r="G19" s="7"/>
      <c r="H19" s="7"/>
      <c r="I19" s="7"/>
      <c r="J19" s="8" t="n">
        <f aca="false">IF($F19=1, 0, (MAX($H19,$G19,$D19,$C19)-$C19)/($F19-1))</f>
        <v>2</v>
      </c>
    </row>
    <row r="20" customFormat="false" ht="12.8" hidden="false" customHeight="true" outlineLevel="0" collapsed="false">
      <c r="A20" s="15" t="s">
        <v>34</v>
      </c>
      <c r="B20" s="15" t="s">
        <v>35</v>
      </c>
      <c r="C20" s="7" t="n">
        <v>7</v>
      </c>
      <c r="D20" s="6" t="n">
        <v>10</v>
      </c>
      <c r="E20" s="6"/>
      <c r="F20" s="7" t="n">
        <v>2</v>
      </c>
      <c r="G20" s="7"/>
      <c r="H20" s="7"/>
      <c r="I20" s="8" t="n">
        <f aca="false">IF($F20=1, 0, (MAX($H20,$G20,$D20,$C20)-$C20)/($F20-1))</f>
        <v>3</v>
      </c>
    </row>
    <row r="21" customFormat="false" ht="12.8" hidden="false" customHeight="true" outlineLevel="0" collapsed="false">
      <c r="A21" s="5" t="s">
        <v>36</v>
      </c>
      <c r="B21" s="5" t="s">
        <v>14</v>
      </c>
      <c r="C21" s="7" t="n">
        <v>7</v>
      </c>
      <c r="D21" s="11" t="n">
        <v>10</v>
      </c>
      <c r="E21" s="11"/>
      <c r="F21" s="7" t="n">
        <v>2</v>
      </c>
      <c r="G21" s="7"/>
      <c r="H21" s="7"/>
      <c r="I21" s="7"/>
      <c r="J21" s="8" t="n">
        <f aca="false">IF($F21=1, 0, (MAX($H21,$G21,$D21,$C21)-$C21)/($F21-1))</f>
        <v>3</v>
      </c>
    </row>
    <row r="22" customFormat="false" ht="12.8" hidden="false" customHeight="true" outlineLevel="0" collapsed="false">
      <c r="A22" s="5" t="s">
        <v>37</v>
      </c>
      <c r="B22" s="5" t="s">
        <v>28</v>
      </c>
      <c r="C22" s="7" t="n">
        <v>5</v>
      </c>
      <c r="D22" s="14" t="n">
        <v>10</v>
      </c>
      <c r="E22" s="16"/>
      <c r="F22" s="12" t="n">
        <v>4</v>
      </c>
      <c r="G22" s="7"/>
      <c r="H22" s="7"/>
      <c r="I22" s="8" t="n">
        <f aca="false">IF($F22=1, 0, (MAX($H22,$G22,$D22,$C22)-$C22)/($F22-1))</f>
        <v>1.66666666666667</v>
      </c>
      <c r="J22" s="13"/>
    </row>
    <row r="23" customFormat="false" ht="12.8" hidden="false" customHeight="true" outlineLevel="0" collapsed="false">
      <c r="A23" s="5" t="s">
        <v>38</v>
      </c>
      <c r="B23" s="5" t="s">
        <v>14</v>
      </c>
      <c r="C23" s="7" t="n">
        <f aca="false">(10/7)*6</f>
        <v>8.57142857142857</v>
      </c>
      <c r="D23" s="10" t="n">
        <f aca="false">(10/7)*7</f>
        <v>10</v>
      </c>
      <c r="E23" s="7"/>
      <c r="F23" s="7" t="n">
        <v>2</v>
      </c>
      <c r="G23" s="7"/>
      <c r="H23" s="7"/>
      <c r="I23" s="8"/>
      <c r="J23" s="8" t="n">
        <f aca="false">IF($F23=1, 0, (MAX($H23,$G23,$D23,$C23)-$C23)/($F23-1))</f>
        <v>1.42857142857143</v>
      </c>
    </row>
    <row r="24" customFormat="false" ht="12.8" hidden="false" customHeight="true" outlineLevel="0" collapsed="false">
      <c r="A24" s="5" t="s">
        <v>39</v>
      </c>
      <c r="B24" s="5" t="s">
        <v>14</v>
      </c>
      <c r="C24" s="7" t="n">
        <f aca="false">(10/7)*6</f>
        <v>8.57142857142857</v>
      </c>
      <c r="D24" s="10" t="n">
        <v>10</v>
      </c>
      <c r="E24" s="7"/>
      <c r="F24" s="7" t="n">
        <v>2</v>
      </c>
      <c r="G24" s="7"/>
      <c r="H24" s="7"/>
      <c r="I24" s="8"/>
      <c r="J24" s="8" t="n">
        <f aca="false">IF($F24=1, 0, (MAX($H24,$G24,$D24,$C24)-$C24)/($F24-1))</f>
        <v>1.42857142857143</v>
      </c>
    </row>
    <row r="25" customFormat="false" ht="12.8" hidden="false" customHeight="true" outlineLevel="0" collapsed="false">
      <c r="A25" s="5" t="s">
        <v>40</v>
      </c>
      <c r="B25" s="5" t="s">
        <v>14</v>
      </c>
      <c r="C25" s="7" t="n">
        <f aca="false">(10/7)*6</f>
        <v>8.57142857142857</v>
      </c>
      <c r="D25" s="10" t="n">
        <v>10</v>
      </c>
      <c r="E25" s="7"/>
      <c r="F25" s="7" t="n">
        <v>2</v>
      </c>
      <c r="G25" s="7"/>
      <c r="H25" s="7"/>
      <c r="I25" s="8"/>
      <c r="J25" s="8" t="n">
        <f aca="false">IF($F25=1, 0, (MAX($H25,$G25,$D25,$C25)-$C25)/($F25-1))</f>
        <v>1.42857142857143</v>
      </c>
    </row>
    <row r="26" customFormat="false" ht="12.8" hidden="false" customHeight="true" outlineLevel="0" collapsed="false">
      <c r="A26" s="15" t="s">
        <v>41</v>
      </c>
      <c r="B26" s="5" t="s">
        <v>28</v>
      </c>
      <c r="C26" s="7" t="n">
        <v>8.57</v>
      </c>
      <c r="D26" s="10" t="n">
        <v>10</v>
      </c>
      <c r="E26" s="7"/>
      <c r="F26" s="7" t="n">
        <v>2</v>
      </c>
      <c r="G26" s="7"/>
      <c r="H26" s="7"/>
      <c r="I26" s="8" t="n">
        <f aca="false">IF($F26=1, 0, (MAX($H26,$G26,$D26,$C26)-$C26)/($F26-1))</f>
        <v>1.43</v>
      </c>
      <c r="J26" s="8"/>
    </row>
    <row r="27" customFormat="false" ht="12.8" hidden="false" customHeight="true" outlineLevel="0" collapsed="false">
      <c r="A27" s="15" t="s">
        <v>42</v>
      </c>
      <c r="B27" s="5" t="s">
        <v>28</v>
      </c>
      <c r="C27" s="7" t="n">
        <v>7.14</v>
      </c>
      <c r="D27" s="10" t="n">
        <v>10</v>
      </c>
      <c r="E27" s="7"/>
      <c r="F27" s="7" t="n">
        <v>2</v>
      </c>
      <c r="G27" s="7"/>
      <c r="H27" s="7"/>
      <c r="I27" s="8" t="n">
        <f aca="false">IF($F27=1, 0, (MAX($H27,$G27,$D27,$C27)-$C27)/($F27-1))</f>
        <v>2.86</v>
      </c>
      <c r="J27" s="8"/>
    </row>
    <row r="28" customFormat="false" ht="12.8" hidden="false" customHeight="true" outlineLevel="0" collapsed="false">
      <c r="A28" s="15" t="s">
        <v>43</v>
      </c>
      <c r="B28" s="5" t="s">
        <v>28</v>
      </c>
      <c r="C28" s="7" t="n">
        <v>8.57</v>
      </c>
      <c r="D28" s="10" t="n">
        <v>10</v>
      </c>
      <c r="E28" s="7"/>
      <c r="F28" s="7" t="n">
        <v>2</v>
      </c>
      <c r="G28" s="7"/>
      <c r="H28" s="7"/>
      <c r="I28" s="8" t="n">
        <f aca="false">IF($F28=1, 0, (MAX($H28,$G28,$D28,$C28)-$C28)/($F28-1))</f>
        <v>1.43</v>
      </c>
      <c r="J28" s="8"/>
    </row>
    <row r="29" customFormat="false" ht="12.8" hidden="false" customHeight="true" outlineLevel="0" collapsed="false">
      <c r="A29" s="5" t="s">
        <v>44</v>
      </c>
      <c r="B29" s="5" t="s">
        <v>14</v>
      </c>
      <c r="C29" s="7" t="n">
        <v>8.46</v>
      </c>
      <c r="D29" s="10" t="n">
        <v>10</v>
      </c>
      <c r="E29" s="7"/>
      <c r="F29" s="17" t="n">
        <v>2</v>
      </c>
      <c r="G29" s="7"/>
      <c r="H29" s="7"/>
      <c r="I29" s="8"/>
      <c r="J29" s="8" t="n">
        <f aca="false">IF($F29=1, 0, (MAX($H29,$G29,$D29,$C29)-$C29)/($F29-1))</f>
        <v>1.54</v>
      </c>
    </row>
    <row r="30" customFormat="false" ht="12.8" hidden="false" customHeight="true" outlineLevel="0" collapsed="false">
      <c r="A30" s="5" t="s">
        <v>45</v>
      </c>
      <c r="B30" s="5" t="s">
        <v>14</v>
      </c>
      <c r="C30" s="18" t="n">
        <f aca="false">11*10/13</f>
        <v>8.46153846153846</v>
      </c>
      <c r="D30" s="19" t="n">
        <f aca="false">12*10/13</f>
        <v>9.23076923076923</v>
      </c>
      <c r="E30" s="7"/>
      <c r="F30" s="17" t="n">
        <v>2</v>
      </c>
      <c r="G30" s="7"/>
      <c r="H30" s="7"/>
      <c r="I30" s="8"/>
      <c r="J30" s="8" t="n">
        <f aca="false">IF($F30=1, 0, (MAX($H30,$G30,$D30,$C30)-$C30)/($F30-1))</f>
        <v>0.769230769230768</v>
      </c>
    </row>
    <row r="31" customFormat="false" ht="12.8" hidden="false" customHeight="true" outlineLevel="0" collapsed="false">
      <c r="A31" s="5" t="s">
        <v>46</v>
      </c>
      <c r="B31" s="5" t="s">
        <v>28</v>
      </c>
      <c r="C31" s="18" t="n">
        <f aca="false">11*10/13</f>
        <v>8.46153846153846</v>
      </c>
      <c r="D31" s="19" t="n">
        <v>10</v>
      </c>
      <c r="E31" s="7"/>
      <c r="F31" s="17" t="n">
        <v>2</v>
      </c>
      <c r="G31" s="7"/>
      <c r="H31" s="7"/>
      <c r="I31" s="8" t="n">
        <f aca="false">IF($F31=1, 0, (MAX($H31,$G31,$D31,$C31)-$C31)/($F31-1))</f>
        <v>1.53846153846154</v>
      </c>
      <c r="J31" s="8"/>
    </row>
    <row r="32" customFormat="false" ht="12.8" hidden="false" customHeight="true" outlineLevel="0" collapsed="false">
      <c r="A32" s="5" t="s">
        <v>47</v>
      </c>
      <c r="B32" s="5" t="s">
        <v>28</v>
      </c>
      <c r="C32" s="18" t="n">
        <f aca="false">11*10/13</f>
        <v>8.46153846153846</v>
      </c>
      <c r="D32" s="10" t="n">
        <v>10</v>
      </c>
      <c r="E32" s="7"/>
      <c r="F32" s="17" t="n">
        <v>2</v>
      </c>
      <c r="G32" s="7"/>
      <c r="H32" s="7"/>
      <c r="I32" s="8" t="n">
        <f aca="false">IF($F32=1, 0, (MAX($H32,$G32,$D32,$C32)-$C32)/($F32-1))</f>
        <v>1.53846153846154</v>
      </c>
      <c r="J32" s="8"/>
    </row>
    <row r="33" customFormat="false" ht="12.8" hidden="false" customHeight="true" outlineLevel="0" collapsed="false">
      <c r="A33" s="5" t="s">
        <v>48</v>
      </c>
      <c r="B33" s="5" t="s">
        <v>28</v>
      </c>
      <c r="C33" s="18" t="n">
        <f aca="false">11*10/13</f>
        <v>8.46153846153846</v>
      </c>
      <c r="D33" s="10" t="n">
        <v>10</v>
      </c>
      <c r="E33" s="7"/>
      <c r="F33" s="17" t="n">
        <v>2</v>
      </c>
      <c r="G33" s="7"/>
      <c r="H33" s="7"/>
      <c r="I33" s="8" t="n">
        <f aca="false">IF($F33=1, 0, (MAX($H33,$G33,$D33,$C33)-$C33)/($F33-1))</f>
        <v>1.53846153846154</v>
      </c>
      <c r="J33" s="8"/>
    </row>
    <row r="34" customFormat="false" ht="12.8" hidden="false" customHeight="true" outlineLevel="0" collapsed="false">
      <c r="A34" s="5" t="s">
        <v>49</v>
      </c>
      <c r="B34" s="5" t="s">
        <v>28</v>
      </c>
      <c r="C34" s="18" t="n">
        <f aca="false">11*10/13</f>
        <v>8.46153846153846</v>
      </c>
      <c r="D34" s="10" t="n">
        <v>10</v>
      </c>
      <c r="E34" s="7"/>
      <c r="F34" s="17" t="n">
        <v>2</v>
      </c>
      <c r="G34" s="7"/>
      <c r="H34" s="7"/>
      <c r="I34" s="8" t="n">
        <f aca="false">IF($F34=1, 0, (MAX($H34,$G34,$D34,$C34)-$C34)/($F34-1))</f>
        <v>1.53846153846154</v>
      </c>
      <c r="J34" s="8"/>
    </row>
    <row r="35" customFormat="false" ht="12.8" hidden="false" customHeight="true" outlineLevel="0" collapsed="false">
      <c r="A35" s="5" t="s">
        <v>50</v>
      </c>
      <c r="B35" s="5" t="s">
        <v>28</v>
      </c>
      <c r="C35" s="18" t="n">
        <f aca="false">11*10/13</f>
        <v>8.46153846153846</v>
      </c>
      <c r="D35" s="10" t="n">
        <v>10</v>
      </c>
      <c r="E35" s="7"/>
      <c r="F35" s="17" t="n">
        <v>3</v>
      </c>
      <c r="G35" s="7"/>
      <c r="H35" s="7"/>
      <c r="I35" s="8" t="n">
        <f aca="false">IF($F35=1, 0, (MAX($H35,$G35,$D35,$C35)-$C35)/($F35-1))</f>
        <v>0.769230769230769</v>
      </c>
      <c r="J35" s="8"/>
    </row>
    <row r="36" customFormat="false" ht="12.8" hidden="false" customHeight="true" outlineLevel="0" collapsed="false">
      <c r="A36" s="5" t="s">
        <v>51</v>
      </c>
      <c r="B36" s="5" t="s">
        <v>28</v>
      </c>
      <c r="C36" s="18" t="n">
        <f aca="false">11*10/13</f>
        <v>8.46153846153846</v>
      </c>
      <c r="D36" s="10" t="n">
        <v>10</v>
      </c>
      <c r="E36" s="7"/>
      <c r="F36" s="17" t="n">
        <v>2</v>
      </c>
      <c r="G36" s="7"/>
      <c r="H36" s="7"/>
      <c r="I36" s="8" t="n">
        <f aca="false">IF($F36=1, 0, (MAX($H36,$G36,$D36,$C36)-$C36)/($F36-1))</f>
        <v>1.53846153846154</v>
      </c>
      <c r="J36" s="8"/>
    </row>
    <row r="37" customFormat="false" ht="12.8" hidden="false" customHeight="true" outlineLevel="0" collapsed="false">
      <c r="A37" s="5" t="s">
        <v>52</v>
      </c>
      <c r="B37" s="5" t="s">
        <v>28</v>
      </c>
      <c r="C37" s="7" t="n">
        <v>8.46</v>
      </c>
      <c r="D37" s="10" t="n">
        <v>10</v>
      </c>
      <c r="E37" s="7"/>
      <c r="F37" s="17" t="n">
        <v>2</v>
      </c>
      <c r="G37" s="7"/>
      <c r="H37" s="7"/>
      <c r="I37" s="8" t="n">
        <f aca="false">IF($F37=1, 0, (MAX($H37,$G37,$D37,$C37)-$C37)/($F37-1))</f>
        <v>1.54</v>
      </c>
      <c r="J37" s="8"/>
    </row>
    <row r="38" customFormat="false" ht="12.8" hidden="false" customHeight="true" outlineLevel="0" collapsed="false">
      <c r="A38" s="5" t="s">
        <v>53</v>
      </c>
      <c r="B38" s="5" t="s">
        <v>14</v>
      </c>
      <c r="C38" s="7" t="n">
        <v>8.46</v>
      </c>
      <c r="D38" s="10" t="n">
        <v>9.23</v>
      </c>
      <c r="E38" s="7"/>
      <c r="F38" s="17" t="n">
        <v>2</v>
      </c>
      <c r="G38" s="7"/>
      <c r="H38" s="7"/>
      <c r="I38" s="8"/>
      <c r="J38" s="8" t="n">
        <f aca="false">IF($F38=1, 0, (MAX($H38,$G38,$D38,$C38)-$C38)/($F38-1))</f>
        <v>0.77</v>
      </c>
    </row>
    <row r="39" customFormat="false" ht="12.8" hidden="false" customHeight="true" outlineLevel="0" collapsed="false">
      <c r="A39" s="5" t="s">
        <v>54</v>
      </c>
      <c r="B39" s="5" t="s">
        <v>14</v>
      </c>
      <c r="C39" s="20" t="n">
        <f aca="false">4*10/7</f>
        <v>5.71428571428571</v>
      </c>
      <c r="D39" s="21"/>
      <c r="E39" s="14"/>
      <c r="F39" s="22" t="n">
        <v>4</v>
      </c>
      <c r="G39" s="14"/>
      <c r="H39" s="22" t="n">
        <v>10</v>
      </c>
      <c r="I39" s="23"/>
      <c r="J39" s="23" t="n">
        <f aca="false">IF($F39=1, 0, (MAX($H39,$G39,$H39,$C39)-$C39)/($F39-1))</f>
        <v>1.42857142857143</v>
      </c>
    </row>
    <row r="40" customFormat="false" ht="12.8" hidden="false" customHeight="true" outlineLevel="0" collapsed="false">
      <c r="A40" s="5" t="s">
        <v>55</v>
      </c>
      <c r="B40" s="5" t="s">
        <v>28</v>
      </c>
      <c r="C40" s="22" t="n">
        <f aca="false">5*10/7</f>
        <v>7.14285714285714</v>
      </c>
      <c r="D40" s="24" t="n">
        <f aca="false">6*10/7</f>
        <v>8.57142857142857</v>
      </c>
      <c r="E40" s="14"/>
      <c r="F40" s="25" t="n">
        <v>2</v>
      </c>
      <c r="G40" s="14"/>
      <c r="H40" s="14"/>
      <c r="I40" s="23" t="n">
        <f aca="false">IF($F40=1, 0, (MAX($H40,$G40,$D40,$C40)-$C40)/($F40-1))</f>
        <v>1.42857142857143</v>
      </c>
      <c r="J40" s="23"/>
    </row>
    <row r="41" customFormat="false" ht="12.8" hidden="false" customHeight="true" outlineLevel="0" collapsed="false">
      <c r="A41" s="5" t="s">
        <v>56</v>
      </c>
      <c r="B41" s="5" t="s">
        <v>28</v>
      </c>
      <c r="C41" s="22" t="n">
        <f aca="false">6*10/7</f>
        <v>8.57142857142857</v>
      </c>
      <c r="D41" s="24" t="n">
        <v>10</v>
      </c>
      <c r="E41" s="14"/>
      <c r="F41" s="25" t="n">
        <v>2</v>
      </c>
      <c r="G41" s="14"/>
      <c r="H41" s="14"/>
      <c r="I41" s="23" t="n">
        <f aca="false">IF($F41=1, 0, (MAX($H41,$G41,$D41,$C41)-$C41)/($F41-1))</f>
        <v>1.42857142857143</v>
      </c>
      <c r="J41" s="8"/>
    </row>
    <row r="42" customFormat="false" ht="12.8" hidden="false" customHeight="true" outlineLevel="0" collapsed="false">
      <c r="A42" s="5" t="s">
        <v>57</v>
      </c>
      <c r="B42" s="5" t="s">
        <v>28</v>
      </c>
      <c r="C42" s="20" t="n">
        <f aca="false">6*10/7</f>
        <v>8.57142857142857</v>
      </c>
      <c r="D42" s="20" t="n">
        <f aca="false">6*10/7</f>
        <v>8.57142857142857</v>
      </c>
      <c r="E42" s="14"/>
      <c r="F42" s="25" t="n">
        <v>2</v>
      </c>
      <c r="G42" s="14"/>
      <c r="H42" s="14"/>
      <c r="I42" s="23" t="n">
        <f aca="false">IF($F42=1, 0, (MAX($H42,$G42,$D42,$C42)-$C42)/($F42-1))</f>
        <v>0</v>
      </c>
      <c r="J42" s="23"/>
    </row>
    <row r="43" customFormat="false" ht="12.8" hidden="false" customHeight="true" outlineLevel="0" collapsed="false">
      <c r="A43" s="5" t="s">
        <v>58</v>
      </c>
      <c r="B43" s="5" t="s">
        <v>28</v>
      </c>
      <c r="C43" s="22" t="n">
        <f aca="false">6*10/7</f>
        <v>8.57142857142857</v>
      </c>
      <c r="D43" s="24" t="n">
        <f aca="false">7*10/7</f>
        <v>10</v>
      </c>
      <c r="E43" s="14"/>
      <c r="F43" s="25" t="n">
        <v>2</v>
      </c>
      <c r="G43" s="14"/>
      <c r="H43" s="14"/>
      <c r="I43" s="23" t="n">
        <f aca="false">IF($F43=1, 0, (MAX($H43,$G43,$D43,$C43)-$C43)/($F43-1))</f>
        <v>1.42857142857143</v>
      </c>
      <c r="J43" s="23"/>
    </row>
    <row r="44" customFormat="false" ht="12.8" hidden="false" customHeight="true" outlineLevel="0" collapsed="false">
      <c r="A44" s="5" t="s">
        <v>59</v>
      </c>
      <c r="B44" s="5" t="s">
        <v>28</v>
      </c>
      <c r="C44" s="20" t="n">
        <f aca="false">5*10/7</f>
        <v>7.14285714285714</v>
      </c>
      <c r="D44" s="24" t="n">
        <v>10</v>
      </c>
      <c r="E44" s="14"/>
      <c r="F44" s="25" t="n">
        <v>2</v>
      </c>
      <c r="G44" s="14"/>
      <c r="H44" s="14"/>
      <c r="I44" s="23" t="n">
        <f aca="false">IF($F44=1, 0, (MAX($H44,$G44,$D44,$C44)-$C44)/($F44-1))</f>
        <v>2.85714285714286</v>
      </c>
      <c r="J44" s="23"/>
    </row>
    <row r="45" customFormat="false" ht="12.8" hidden="false" customHeight="true" outlineLevel="0" collapsed="false">
      <c r="A45" s="5" t="s">
        <v>60</v>
      </c>
      <c r="B45" s="5" t="s">
        <v>14</v>
      </c>
      <c r="C45" s="26" t="n">
        <f aca="false">4*10/5</f>
        <v>8</v>
      </c>
      <c r="D45" s="19" t="n">
        <v>10</v>
      </c>
      <c r="E45" s="14"/>
      <c r="F45" s="14" t="n">
        <v>2</v>
      </c>
      <c r="G45" s="14"/>
      <c r="H45" s="14"/>
      <c r="I45" s="23"/>
      <c r="J45" s="23" t="n">
        <f aca="false">IF($F45=1, 0, (MAX($H45,$G45,$D45,$C45)-$C45)/($F45-1))</f>
        <v>2</v>
      </c>
    </row>
    <row r="46" customFormat="false" ht="12.8" hidden="false" customHeight="true" outlineLevel="0" collapsed="false">
      <c r="A46" s="5" t="s">
        <v>61</v>
      </c>
      <c r="B46" s="5" t="s">
        <v>14</v>
      </c>
      <c r="C46" s="26" t="n">
        <f aca="false">3*10/5</f>
        <v>6</v>
      </c>
      <c r="D46" s="19"/>
      <c r="E46" s="14"/>
      <c r="F46" s="14" t="n">
        <v>3</v>
      </c>
      <c r="G46" s="27" t="n">
        <v>10</v>
      </c>
      <c r="H46" s="14"/>
      <c r="I46" s="23"/>
      <c r="J46" s="23" t="n">
        <f aca="false">IF($F46=1, 0, (MAX($H46,$G46,$D46,$C46)-$C46)/($F46-1))</f>
        <v>2</v>
      </c>
    </row>
    <row r="47" customFormat="false" ht="12.8" hidden="false" customHeight="true" outlineLevel="0" collapsed="false">
      <c r="A47" s="5" t="s">
        <v>62</v>
      </c>
      <c r="B47" s="5" t="s">
        <v>28</v>
      </c>
      <c r="C47" s="26" t="n">
        <f aca="false">4*10/5</f>
        <v>8</v>
      </c>
      <c r="D47" s="28" t="n">
        <v>10</v>
      </c>
      <c r="E47" s="13"/>
      <c r="F47" s="7" t="n">
        <v>2</v>
      </c>
      <c r="G47" s="29"/>
      <c r="H47" s="29"/>
      <c r="I47" s="23" t="n">
        <f aca="false">IF($F47=1, 0, (MAX($H47,$G47,$D47,$C47)-$C47)/($F47-1))</f>
        <v>2</v>
      </c>
      <c r="J47" s="23"/>
    </row>
    <row r="48" customFormat="false" ht="12.8" hidden="false" customHeight="true" outlineLevel="0" collapsed="false">
      <c r="A48" s="5" t="s">
        <v>63</v>
      </c>
      <c r="B48" s="5" t="s">
        <v>28</v>
      </c>
      <c r="C48" s="26" t="n">
        <f aca="false">3*10/5</f>
        <v>6</v>
      </c>
      <c r="D48" s="19" t="n">
        <v>10</v>
      </c>
      <c r="E48" s="13"/>
      <c r="F48" s="18" t="n">
        <v>2</v>
      </c>
      <c r="G48" s="13"/>
      <c r="H48" s="13"/>
      <c r="I48" s="23" t="n">
        <f aca="false">IF($F48=1, 0, (MAX($H48,$G48,$D48,$C48)-$C48)/($F48-1))</f>
        <v>4</v>
      </c>
      <c r="J48" s="23"/>
    </row>
    <row r="49" customFormat="false" ht="12.8" hidden="false" customHeight="true" outlineLevel="0" collapsed="false">
      <c r="A49" s="5" t="s">
        <v>64</v>
      </c>
      <c r="B49" s="5" t="s">
        <v>28</v>
      </c>
      <c r="C49" s="26" t="n">
        <f aca="false">4*10/5</f>
        <v>8</v>
      </c>
      <c r="D49" s="28" t="n">
        <v>10</v>
      </c>
      <c r="E49" s="13"/>
      <c r="F49" s="7" t="n">
        <v>2</v>
      </c>
      <c r="G49" s="13"/>
      <c r="H49" s="13"/>
      <c r="I49" s="23" t="n">
        <f aca="false">IF($F49=1, 0, (MAX($H49,$G49,$D49,$C49)-$C49)/($F49-1))</f>
        <v>2</v>
      </c>
      <c r="J49" s="23"/>
    </row>
    <row r="50" customFormat="false" ht="12.8" hidden="false" customHeight="true" outlineLevel="0" collapsed="false">
      <c r="A50" s="5" t="s">
        <v>65</v>
      </c>
      <c r="B50" s="5" t="s">
        <v>28</v>
      </c>
      <c r="C50" s="26" t="n">
        <f aca="false">4*10/5</f>
        <v>8</v>
      </c>
      <c r="D50" s="19" t="n">
        <v>10</v>
      </c>
      <c r="E50" s="13"/>
      <c r="F50" s="7" t="n">
        <v>2</v>
      </c>
      <c r="G50" s="13"/>
      <c r="H50" s="13"/>
      <c r="I50" s="23" t="n">
        <f aca="false">IF($F50=1, 0, (MAX($H50,$G50,$D50,$C50)-$C50)/($F50-1))</f>
        <v>2</v>
      </c>
      <c r="J50" s="23"/>
    </row>
    <row r="51" customFormat="false" ht="12.8" hidden="false" customHeight="true" outlineLevel="0" collapsed="false">
      <c r="A51" s="5" t="s">
        <v>66</v>
      </c>
      <c r="B51" s="5" t="s">
        <v>14</v>
      </c>
      <c r="C51" s="30" t="n">
        <v>8</v>
      </c>
      <c r="D51" s="10" t="n">
        <v>10</v>
      </c>
      <c r="E51" s="30"/>
      <c r="F51" s="30" t="n">
        <v>2</v>
      </c>
      <c r="G51" s="30"/>
      <c r="H51" s="14"/>
      <c r="I51" s="23"/>
      <c r="J51" s="23" t="n">
        <f aca="false">IF($F51=1, 0, (MAX($H51,$G51,$D51,$C51)-$C51)/($F51-1))</f>
        <v>2</v>
      </c>
    </row>
    <row r="52" customFormat="false" ht="12.8" hidden="false" customHeight="true" outlineLevel="0" collapsed="false">
      <c r="A52" s="5" t="s">
        <v>67</v>
      </c>
      <c r="B52" s="5" t="s">
        <v>14</v>
      </c>
      <c r="C52" s="30" t="n">
        <v>5</v>
      </c>
      <c r="D52" s="10"/>
      <c r="E52" s="30"/>
      <c r="F52" s="30" t="n">
        <v>4</v>
      </c>
      <c r="G52" s="16"/>
      <c r="H52" s="14" t="n">
        <v>10</v>
      </c>
      <c r="I52" s="23"/>
      <c r="J52" s="23" t="n">
        <f aca="false">IF($F52=1, 0, (MAX($H52,$G52,$D52,$C52)-$C52)/($F52-1))</f>
        <v>1.66666666666667</v>
      </c>
    </row>
    <row r="53" customFormat="false" ht="12.8" hidden="false" customHeight="true" outlineLevel="0" collapsed="false">
      <c r="A53" s="5" t="s">
        <v>68</v>
      </c>
      <c r="B53" s="5" t="s">
        <v>28</v>
      </c>
      <c r="C53" s="30" t="n">
        <v>7</v>
      </c>
      <c r="D53" s="16" t="n">
        <v>9</v>
      </c>
      <c r="E53" s="30"/>
      <c r="F53" s="30" t="n">
        <v>2</v>
      </c>
      <c r="G53" s="30"/>
      <c r="H53" s="14"/>
      <c r="I53" s="23" t="n">
        <f aca="false">IF($F53=1, 0, (MAX($H53,$G53,$D53,$C53)-$C53)/($F53-1))</f>
        <v>2</v>
      </c>
      <c r="J53" s="23"/>
    </row>
    <row r="54" customFormat="false" ht="12.8" hidden="false" customHeight="true" outlineLevel="0" collapsed="false">
      <c r="A54" s="5" t="s">
        <v>69</v>
      </c>
      <c r="B54" s="5" t="s">
        <v>28</v>
      </c>
      <c r="C54" s="30" t="n">
        <v>7</v>
      </c>
      <c r="D54" s="12" t="n">
        <v>10</v>
      </c>
      <c r="E54" s="10"/>
      <c r="F54" s="10" t="n">
        <v>2</v>
      </c>
      <c r="G54" s="30"/>
      <c r="H54" s="14"/>
      <c r="I54" s="23" t="n">
        <f aca="false">IF($F54=1, 0, (MAX($H54,$G54,$D54,$C54)-$C54)/($F54-1))</f>
        <v>3</v>
      </c>
      <c r="J54" s="23"/>
    </row>
    <row r="55" customFormat="false" ht="12.8" hidden="false" customHeight="true" outlineLevel="0" collapsed="false">
      <c r="A55" s="5" t="s">
        <v>70</v>
      </c>
      <c r="B55" s="5" t="s">
        <v>28</v>
      </c>
      <c r="C55" s="24" t="n">
        <v>8</v>
      </c>
      <c r="D55" s="10" t="n">
        <v>10</v>
      </c>
      <c r="E55" s="10"/>
      <c r="F55" s="10" t="n">
        <v>2</v>
      </c>
      <c r="G55" s="10"/>
      <c r="H55" s="7"/>
      <c r="I55" s="23" t="n">
        <f aca="false">IF($F55=1, 0, (MAX($H55,$G55,$D55,$C55)-$C55)/($F55-1))</f>
        <v>2</v>
      </c>
      <c r="J55" s="23"/>
    </row>
    <row r="56" customFormat="false" ht="12.8" hidden="false" customHeight="true" outlineLevel="0" collapsed="false">
      <c r="A56" s="5" t="s">
        <v>71</v>
      </c>
      <c r="B56" s="5" t="s">
        <v>28</v>
      </c>
      <c r="C56" s="10" t="n">
        <v>7</v>
      </c>
      <c r="D56" s="10" t="n">
        <v>10</v>
      </c>
      <c r="E56" s="10"/>
      <c r="F56" s="10" t="n">
        <v>2</v>
      </c>
      <c r="G56" s="10"/>
      <c r="H56" s="7"/>
      <c r="I56" s="23" t="n">
        <f aca="false">IF($F56=1, 0, (MAX($H56,$G56,$D56,$C56)-$C56)/($F56-1))</f>
        <v>3</v>
      </c>
      <c r="J56" s="23"/>
    </row>
    <row r="57" customFormat="false" ht="12.8" hidden="false" customHeight="true" outlineLevel="0" collapsed="false">
      <c r="A57" s="5" t="s">
        <v>72</v>
      </c>
      <c r="B57" s="5" t="s">
        <v>28</v>
      </c>
      <c r="C57" s="10" t="n">
        <v>9</v>
      </c>
      <c r="D57" s="10" t="n">
        <v>10</v>
      </c>
      <c r="E57" s="10"/>
      <c r="F57" s="10" t="n">
        <v>2</v>
      </c>
      <c r="G57" s="10"/>
      <c r="H57" s="7"/>
      <c r="I57" s="23" t="n">
        <f aca="false">IF($F57=1, 0, (MAX($H57,$G57,$D57,$C57)-$C57)/($F57-1))</f>
        <v>1</v>
      </c>
      <c r="J57" s="23"/>
    </row>
    <row r="58" customFormat="false" ht="12.8" hidden="false" customHeight="true" outlineLevel="0" collapsed="false">
      <c r="A58" s="5" t="s">
        <v>73</v>
      </c>
      <c r="B58" s="5" t="s">
        <v>28</v>
      </c>
      <c r="C58" s="10" t="n">
        <v>8</v>
      </c>
      <c r="D58" s="10" t="n">
        <v>10</v>
      </c>
      <c r="E58" s="10"/>
      <c r="F58" s="10" t="n">
        <v>2</v>
      </c>
      <c r="G58" s="10"/>
      <c r="H58" s="7"/>
      <c r="I58" s="23" t="n">
        <f aca="false">IF($F58=1, 0, (MAX($H58,$G58,$D58,$C58)-$C58)/($F58-1))</f>
        <v>2</v>
      </c>
      <c r="J58" s="23"/>
    </row>
    <row r="59" customFormat="false" ht="12.8" hidden="false" customHeight="true" outlineLevel="0" collapsed="false">
      <c r="A59" s="5" t="s">
        <v>74</v>
      </c>
      <c r="B59" s="5" t="s">
        <v>14</v>
      </c>
      <c r="C59" s="10" t="n">
        <v>9</v>
      </c>
      <c r="D59" s="10" t="n">
        <v>10</v>
      </c>
      <c r="E59" s="10"/>
      <c r="F59" s="10" t="n">
        <v>2</v>
      </c>
      <c r="G59" s="10"/>
      <c r="H59" s="7"/>
      <c r="I59" s="8"/>
      <c r="J59" s="23" t="n">
        <f aca="false">IF($F59=1, 0, (MAX($H59,$G59,$D59,$C59)-$C59)/($F59-1))</f>
        <v>1</v>
      </c>
    </row>
    <row r="60" customFormat="false" ht="12.8" hidden="false" customHeight="true" outlineLevel="0" collapsed="false">
      <c r="A60" s="5" t="s">
        <v>75</v>
      </c>
      <c r="B60" s="5" t="s">
        <v>14</v>
      </c>
      <c r="C60" s="22" t="n">
        <f aca="false">2*10/3</f>
        <v>6.66666666666667</v>
      </c>
      <c r="D60" s="10" t="n">
        <v>10</v>
      </c>
      <c r="E60" s="30"/>
      <c r="F60" s="30" t="n">
        <v>2</v>
      </c>
      <c r="G60" s="30"/>
      <c r="H60" s="14"/>
      <c r="I60" s="23"/>
      <c r="J60" s="23" t="n">
        <f aca="false">IF($F60=1, 0, (MAX($H60,$G60,$D60,$C60)-$C60)/($F60-1))</f>
        <v>3.33333333333333</v>
      </c>
    </row>
    <row r="61" customFormat="false" ht="12.8" hidden="false" customHeight="true" outlineLevel="0" collapsed="false">
      <c r="A61" s="5" t="s">
        <v>76</v>
      </c>
      <c r="B61" s="5" t="s">
        <v>14</v>
      </c>
      <c r="C61" s="31" t="n">
        <v>6.67</v>
      </c>
      <c r="D61" s="30" t="n">
        <v>10</v>
      </c>
      <c r="E61" s="30"/>
      <c r="F61" s="30" t="n">
        <v>2</v>
      </c>
      <c r="G61" s="30"/>
      <c r="H61" s="14"/>
      <c r="I61" s="8"/>
      <c r="J61" s="23" t="n">
        <f aca="false">IF($F61=1, 0, (MAX($H61,$G61,$D61,$C61)-$C61)/($F61-1))</f>
        <v>3.33</v>
      </c>
    </row>
    <row r="62" customFormat="false" ht="12.8" hidden="false" customHeight="true" outlineLevel="0" collapsed="false">
      <c r="A62" s="5" t="s">
        <v>77</v>
      </c>
      <c r="B62" s="5" t="s">
        <v>35</v>
      </c>
      <c r="C62" s="30" t="n">
        <v>6.67</v>
      </c>
      <c r="D62" s="16" t="n">
        <v>10</v>
      </c>
      <c r="E62" s="30"/>
      <c r="F62" s="30" t="n">
        <v>2</v>
      </c>
      <c r="G62" s="30"/>
      <c r="H62" s="14"/>
      <c r="I62" s="23" t="n">
        <f aca="false">IF($F62=1, 0, (MAX($H62,$G62,$D62,$C62)-$C62)/($F62-1))</f>
        <v>3.33</v>
      </c>
      <c r="J62" s="8"/>
    </row>
    <row r="63" customFormat="false" ht="12.8" hidden="false" customHeight="true" outlineLevel="0" collapsed="false">
      <c r="A63" s="5" t="s">
        <v>78</v>
      </c>
      <c r="B63" s="5" t="s">
        <v>28</v>
      </c>
      <c r="C63" s="22" t="n">
        <f aca="false">2*10/3</f>
        <v>6.66666666666667</v>
      </c>
      <c r="D63" s="10" t="n">
        <v>10</v>
      </c>
      <c r="E63" s="10"/>
      <c r="F63" s="10" t="n">
        <v>2</v>
      </c>
      <c r="G63" s="10"/>
      <c r="H63" s="7"/>
      <c r="I63" s="23" t="n">
        <f aca="false">IF($F63=1, 0, (MAX($H63,$G63,$D63,$C63)-$C63)/($F63-1))</f>
        <v>3.33333333333333</v>
      </c>
      <c r="J63" s="8"/>
    </row>
    <row r="64" customFormat="false" ht="12.8" hidden="false" customHeight="true" outlineLevel="0" collapsed="false">
      <c r="A64" s="5" t="s">
        <v>79</v>
      </c>
      <c r="B64" s="5" t="s">
        <v>28</v>
      </c>
      <c r="C64" s="22" t="n">
        <f aca="false">2*10/3</f>
        <v>6.66666666666667</v>
      </c>
      <c r="D64" s="10" t="n">
        <v>10</v>
      </c>
      <c r="E64" s="10"/>
      <c r="F64" s="10" t="n">
        <v>2</v>
      </c>
      <c r="G64" s="10"/>
      <c r="H64" s="7"/>
      <c r="I64" s="23" t="n">
        <f aca="false">IF($F64=1, 0, (MAX($H64,$G64,$D64,$C64)-$C64)/($F64-1))</f>
        <v>3.33333333333333</v>
      </c>
      <c r="J64" s="8"/>
    </row>
    <row r="65" customFormat="false" ht="12.8" hidden="false" customHeight="true" outlineLevel="0" collapsed="false">
      <c r="A65" s="5" t="s">
        <v>80</v>
      </c>
      <c r="B65" s="5" t="s">
        <v>28</v>
      </c>
      <c r="C65" s="10" t="n">
        <v>6.67</v>
      </c>
      <c r="D65" s="10" t="n">
        <v>10</v>
      </c>
      <c r="E65" s="10"/>
      <c r="F65" s="10" t="n">
        <v>2</v>
      </c>
      <c r="G65" s="10"/>
      <c r="H65" s="7"/>
      <c r="I65" s="23" t="n">
        <f aca="false">IF($F65=1, 0, (MAX($H65,$G65,$D65,$C65)-$C65)/($F65-1))</f>
        <v>3.33</v>
      </c>
      <c r="J65" s="8"/>
    </row>
    <row r="66" customFormat="false" ht="12.8" hidden="false" customHeight="true" outlineLevel="0" collapsed="false">
      <c r="A66" s="5" t="s">
        <v>81</v>
      </c>
      <c r="B66" s="5" t="s">
        <v>14</v>
      </c>
      <c r="C66" s="14" t="n">
        <v>6.25</v>
      </c>
      <c r="D66" s="10"/>
      <c r="E66" s="30"/>
      <c r="F66" s="30" t="n">
        <v>4</v>
      </c>
      <c r="G66" s="30"/>
      <c r="H66" s="14" t="n">
        <v>8.75</v>
      </c>
      <c r="I66" s="23"/>
      <c r="J66" s="23" t="n">
        <f aca="false">IF($F66=1, 0, (MAX($H66,$G66,$D66,$C66)-$C66)/($F66-1))</f>
        <v>0.833333333333333</v>
      </c>
    </row>
    <row r="67" customFormat="false" ht="12.8" hidden="false" customHeight="true" outlineLevel="0" collapsed="false">
      <c r="A67" s="5" t="s">
        <v>82</v>
      </c>
      <c r="B67" s="5" t="s">
        <v>14</v>
      </c>
      <c r="C67" s="30" t="n">
        <v>6.25</v>
      </c>
      <c r="D67" s="32"/>
      <c r="E67" s="30"/>
      <c r="F67" s="30" t="n">
        <v>4</v>
      </c>
      <c r="G67" s="30"/>
      <c r="H67" s="16" t="n">
        <v>10</v>
      </c>
      <c r="I67" s="8"/>
      <c r="J67" s="23" t="n">
        <f aca="false">IF($F67=1, 0, (MAX($H67,$G67,$H67,$C67)-$C67)/($F67-1))</f>
        <v>1.25</v>
      </c>
    </row>
    <row r="68" customFormat="false" ht="12.8" hidden="false" customHeight="true" outlineLevel="0" collapsed="false">
      <c r="A68" s="5" t="s">
        <v>83</v>
      </c>
      <c r="B68" s="5" t="s">
        <v>28</v>
      </c>
      <c r="C68" s="14" t="n">
        <v>6.25</v>
      </c>
      <c r="D68" s="10" t="n">
        <v>10</v>
      </c>
      <c r="E68" s="10"/>
      <c r="F68" s="10" t="n">
        <v>2</v>
      </c>
      <c r="G68" s="10"/>
      <c r="H68" s="7"/>
      <c r="I68" s="23" t="n">
        <f aca="false">IF($F68=1, 0, (MAX($H68,$G68,$D68,$C68)-$C68)/($F68-1))</f>
        <v>3.75</v>
      </c>
      <c r="J68" s="23"/>
    </row>
    <row r="69" customFormat="false" ht="12.8" hidden="false" customHeight="true" outlineLevel="0" collapsed="false">
      <c r="A69" s="5" t="s">
        <v>84</v>
      </c>
      <c r="B69" s="5" t="s">
        <v>28</v>
      </c>
      <c r="C69" s="18" t="n">
        <f aca="false">6*10/8</f>
        <v>7.5</v>
      </c>
      <c r="D69" s="10" t="n">
        <v>10</v>
      </c>
      <c r="E69" s="7"/>
      <c r="F69" s="7" t="n">
        <v>2</v>
      </c>
      <c r="G69" s="7"/>
      <c r="H69" s="7"/>
      <c r="I69" s="23" t="n">
        <f aca="false">IF($F69=1, 0, (MAX($H69,$G69,$D69,$C69)-$C69)/($F69-1))</f>
        <v>2.5</v>
      </c>
      <c r="J69" s="23"/>
    </row>
    <row r="70" customFormat="false" ht="12.8" hidden="false" customHeight="true" outlineLevel="0" collapsed="false">
      <c r="A70" s="5" t="s">
        <v>85</v>
      </c>
      <c r="B70" s="5" t="s">
        <v>28</v>
      </c>
      <c r="C70" s="19" t="n">
        <f aca="false">7*10/8</f>
        <v>8.75</v>
      </c>
      <c r="D70" s="10" t="n">
        <v>10</v>
      </c>
      <c r="E70" s="10"/>
      <c r="F70" s="10" t="n">
        <v>2</v>
      </c>
      <c r="G70" s="7"/>
      <c r="H70" s="7"/>
      <c r="I70" s="23" t="n">
        <f aca="false">IF($F70=1, 0, (MAX($H70,$G70,$D70,$C70)-$C70)/($F70-1))</f>
        <v>1.25</v>
      </c>
      <c r="J70" s="23"/>
    </row>
    <row r="71" customFormat="false" ht="12.8" hidden="false" customHeight="true" outlineLevel="0" collapsed="false">
      <c r="A71" s="5" t="s">
        <v>86</v>
      </c>
      <c r="B71" s="5" t="s">
        <v>28</v>
      </c>
      <c r="C71" s="18" t="n">
        <f aca="false">7*10/8</f>
        <v>8.75</v>
      </c>
      <c r="D71" s="10" t="n">
        <v>10</v>
      </c>
      <c r="E71" s="10"/>
      <c r="F71" s="10" t="n">
        <v>2</v>
      </c>
      <c r="G71" s="7"/>
      <c r="H71" s="7"/>
      <c r="I71" s="23" t="n">
        <f aca="false">IF($F71=1, 0, (MAX($H71,$G71,$D71,$C71)-$C71)/($F71-1))</f>
        <v>1.25</v>
      </c>
      <c r="J71" s="23"/>
    </row>
    <row r="72" customFormat="false" ht="12.8" hidden="false" customHeight="true" outlineLevel="0" collapsed="false">
      <c r="A72" s="15" t="s">
        <v>87</v>
      </c>
      <c r="B72" s="15" t="s">
        <v>28</v>
      </c>
      <c r="C72" s="7" t="n">
        <f aca="false">7*10/8</f>
        <v>8.75</v>
      </c>
      <c r="D72" s="7" t="n">
        <v>10</v>
      </c>
      <c r="E72" s="7"/>
      <c r="F72" s="7" t="n">
        <v>2</v>
      </c>
      <c r="G72" s="7"/>
      <c r="H72" s="7"/>
      <c r="I72" s="23" t="n">
        <f aca="false">IF($F72=1, 0, (MAX($H72,$G72,$D72,$C72)-$C72)/($F72-1))</f>
        <v>1.25</v>
      </c>
      <c r="J72" s="7"/>
      <c r="L72" s="33"/>
    </row>
    <row r="73" customFormat="false" ht="12.8" hidden="false" customHeight="true" outlineLevel="0" collapsed="false">
      <c r="A73" s="5" t="s">
        <v>88</v>
      </c>
      <c r="B73" s="5" t="s">
        <v>14</v>
      </c>
      <c r="C73" s="7" t="n">
        <f aca="false">7*10/8</f>
        <v>8.75</v>
      </c>
      <c r="D73" s="7" t="n">
        <v>10</v>
      </c>
      <c r="E73" s="7"/>
      <c r="F73" s="7" t="n">
        <v>2</v>
      </c>
      <c r="G73" s="7"/>
      <c r="H73" s="7"/>
      <c r="I73" s="13"/>
      <c r="J73" s="23" t="n">
        <f aca="false">IF($F73=1, 0, (MAX($H73,$G73,$D73,$C73)-$C73)/($F73-1))</f>
        <v>1.25</v>
      </c>
      <c r="L73" s="33"/>
    </row>
    <row r="74" customFormat="false" ht="12.8" hidden="false" customHeight="true" outlineLevel="0" collapsed="false">
      <c r="A74" s="5" t="s">
        <v>89</v>
      </c>
      <c r="B74" s="5" t="s">
        <v>14</v>
      </c>
      <c r="C74" s="7" t="n">
        <f aca="false">5*10/8</f>
        <v>6.25</v>
      </c>
      <c r="D74" s="7" t="n">
        <v>10</v>
      </c>
      <c r="E74" s="7"/>
      <c r="F74" s="7" t="n">
        <v>2</v>
      </c>
      <c r="G74" s="7"/>
      <c r="H74" s="7"/>
      <c r="I74" s="13"/>
      <c r="J74" s="23" t="n">
        <f aca="false">IF($F74=1, 0, (MAX($H74,$G74,$D74,$C74)-$C74)/($F74-1))</f>
        <v>3.75</v>
      </c>
      <c r="L74" s="33"/>
    </row>
    <row r="75" customFormat="false" ht="12.8" hidden="false" customHeight="true" outlineLevel="0" collapsed="false">
      <c r="A75" s="15" t="s">
        <v>90</v>
      </c>
      <c r="B75" s="5" t="s">
        <v>14</v>
      </c>
      <c r="C75" s="7" t="n">
        <v>7.5</v>
      </c>
      <c r="D75" s="7" t="n">
        <v>10</v>
      </c>
      <c r="E75" s="7"/>
      <c r="F75" s="7" t="n">
        <v>2</v>
      </c>
      <c r="G75" s="7"/>
      <c r="H75" s="7"/>
      <c r="I75" s="13"/>
      <c r="J75" s="23" t="n">
        <f aca="false">IF($F75=1, 0, (MAX($H75,$G75,$D75,$C75)-$C75)/($F75-1))</f>
        <v>2.5</v>
      </c>
      <c r="L75" s="33"/>
    </row>
    <row r="76" customFormat="false" ht="12.8" hidden="false" customHeight="true" outlineLevel="0" collapsed="false">
      <c r="A76" s="15" t="s">
        <v>91</v>
      </c>
      <c r="B76" s="15" t="s">
        <v>28</v>
      </c>
      <c r="C76" s="7" t="n">
        <f aca="false">7*10/8</f>
        <v>8.75</v>
      </c>
      <c r="D76" s="7" t="n">
        <v>10</v>
      </c>
      <c r="E76" s="7"/>
      <c r="F76" s="7" t="n">
        <v>2</v>
      </c>
      <c r="G76" s="7"/>
      <c r="H76" s="7"/>
      <c r="I76" s="23" t="n">
        <f aca="false">IF($F76=1, 0, (MAX($H76,$G76,$D76,$C76)-$C76)/($F76-1))</f>
        <v>1.25</v>
      </c>
      <c r="J76" s="7"/>
      <c r="L76" s="33"/>
    </row>
    <row r="77" customFormat="false" ht="12.8" hidden="false" customHeight="true" outlineLevel="0" collapsed="false">
      <c r="A77" s="15" t="s">
        <v>92</v>
      </c>
      <c r="B77" s="15" t="s">
        <v>28</v>
      </c>
      <c r="C77" s="7" t="n">
        <f aca="false">5*10/8</f>
        <v>6.25</v>
      </c>
      <c r="D77" s="7" t="n">
        <v>10</v>
      </c>
      <c r="E77" s="7"/>
      <c r="F77" s="7" t="n">
        <v>2</v>
      </c>
      <c r="G77" s="7"/>
      <c r="H77" s="7"/>
      <c r="I77" s="23" t="n">
        <f aca="false">IF($F77=1, 0, (MAX($H77,$G77,$D77,$C77)-$C77)/($F77-1))</f>
        <v>3.75</v>
      </c>
      <c r="J77" s="7"/>
    </row>
    <row r="78" customFormat="false" ht="12.8" hidden="false" customHeight="true" outlineLevel="0" collapsed="false">
      <c r="A78" s="15" t="s">
        <v>93</v>
      </c>
      <c r="B78" s="15" t="s">
        <v>28</v>
      </c>
      <c r="C78" s="7" t="n">
        <f aca="false">7*10/8</f>
        <v>8.75</v>
      </c>
      <c r="D78" s="7" t="n">
        <v>10</v>
      </c>
      <c r="E78" s="7"/>
      <c r="F78" s="7" t="n">
        <v>2</v>
      </c>
      <c r="G78" s="7"/>
      <c r="H78" s="7"/>
      <c r="I78" s="23" t="n">
        <f aca="false">IF($F78=1, 0, (MAX($H78,$G78,$D78,$C78)-$C78)/($F78-1))</f>
        <v>1.25</v>
      </c>
      <c r="J78" s="7"/>
    </row>
    <row r="79" customFormat="false" ht="12.8" hidden="false" customHeight="true" outlineLevel="0" collapsed="false">
      <c r="A79" s="15" t="s">
        <v>94</v>
      </c>
      <c r="B79" s="15" t="s">
        <v>28</v>
      </c>
      <c r="C79" s="7" t="n">
        <f aca="false">7*10/8</f>
        <v>8.75</v>
      </c>
      <c r="D79" s="7" t="n">
        <v>10</v>
      </c>
      <c r="E79" s="7"/>
      <c r="F79" s="7" t="n">
        <v>2</v>
      </c>
      <c r="G79" s="7"/>
      <c r="H79" s="7"/>
      <c r="I79" s="23" t="n">
        <f aca="false">IF($F79=1, 0, (MAX($H79,$G79,$D79,$C79)-$C79)/($F79-1))</f>
        <v>1.25</v>
      </c>
      <c r="J79" s="7"/>
    </row>
    <row r="80" customFormat="false" ht="12.8" hidden="false" customHeight="true" outlineLevel="0" collapsed="false">
      <c r="A80" s="5" t="s">
        <v>95</v>
      </c>
      <c r="B80" s="15" t="s">
        <v>28</v>
      </c>
      <c r="C80" s="7" t="n">
        <v>8.75</v>
      </c>
      <c r="D80" s="7" t="n">
        <v>10</v>
      </c>
      <c r="E80" s="7"/>
      <c r="F80" s="7" t="n">
        <v>2</v>
      </c>
      <c r="G80" s="7"/>
      <c r="H80" s="7"/>
      <c r="I80" s="23" t="n">
        <f aca="false">IF($F80=1, 0, (MAX($H80,$G80,$D80,$C80)-$C80)/($F80-1))</f>
        <v>1.25</v>
      </c>
      <c r="J80" s="7"/>
    </row>
    <row r="81" customFormat="false" ht="12.8" hidden="false" customHeight="true" outlineLevel="0" collapsed="false">
      <c r="A81" s="15" t="s">
        <v>96</v>
      </c>
      <c r="B81" s="15" t="s">
        <v>28</v>
      </c>
      <c r="C81" s="7" t="n">
        <v>8.75</v>
      </c>
      <c r="D81" s="7" t="n">
        <v>10</v>
      </c>
      <c r="E81" s="7"/>
      <c r="F81" s="7" t="n">
        <v>2</v>
      </c>
      <c r="G81" s="7"/>
      <c r="H81" s="7"/>
      <c r="I81" s="23" t="n">
        <f aca="false">IF($F81=1, 0, (MAX($H81,$G81,$D81,$C81)-$C81)/($F81-1))</f>
        <v>1.25</v>
      </c>
      <c r="J81" s="7"/>
    </row>
    <row r="82" customFormat="false" ht="12.8" hidden="false" customHeight="true" outlineLevel="0" collapsed="false">
      <c r="A82" s="5" t="s">
        <v>97</v>
      </c>
      <c r="B82" s="5" t="s">
        <v>14</v>
      </c>
      <c r="C82" s="7" t="n">
        <v>8</v>
      </c>
      <c r="D82" s="7" t="n">
        <v>9</v>
      </c>
      <c r="E82" s="7"/>
      <c r="F82" s="7" t="n">
        <v>2</v>
      </c>
      <c r="G82" s="7"/>
      <c r="H82" s="7"/>
      <c r="J82" s="23" t="n">
        <f aca="false">IF($F82=1, 0, (MAX($H82,$G82,$D82,$C82)-$C82)/($F82-1))</f>
        <v>1</v>
      </c>
    </row>
    <row r="83" customFormat="false" ht="12.8" hidden="false" customHeight="true" outlineLevel="0" collapsed="false">
      <c r="A83" s="15" t="s">
        <v>98</v>
      </c>
      <c r="B83" s="15" t="s">
        <v>28</v>
      </c>
      <c r="C83" s="7" t="n">
        <v>9</v>
      </c>
      <c r="D83" s="7" t="n">
        <v>9</v>
      </c>
      <c r="E83" s="7"/>
      <c r="F83" s="7" t="n">
        <v>2</v>
      </c>
      <c r="G83" s="7"/>
      <c r="H83" s="7"/>
      <c r="I83" s="23" t="n">
        <f aca="false">IF($F83=1, 0, (MAX($H83,$G83,$D83,$C83)-$C83)/($F83-1))</f>
        <v>0</v>
      </c>
      <c r="J83" s="7"/>
    </row>
    <row r="84" customFormat="false" ht="12.8" hidden="false" customHeight="true" outlineLevel="0" collapsed="false">
      <c r="A84" s="15" t="s">
        <v>99</v>
      </c>
      <c r="B84" s="15" t="s">
        <v>14</v>
      </c>
      <c r="C84" s="7" t="n">
        <v>8</v>
      </c>
      <c r="D84" s="7" t="n">
        <v>8</v>
      </c>
      <c r="E84" s="7"/>
      <c r="F84" s="7" t="n">
        <v>2</v>
      </c>
      <c r="G84" s="7"/>
      <c r="H84" s="7"/>
      <c r="I84" s="13"/>
      <c r="J84" s="23" t="n">
        <f aca="false">IF($F84=1, 0, (MAX($H84,$G84,$D84,$C84)-$C84)/($F84-1))</f>
        <v>0</v>
      </c>
    </row>
    <row r="85" customFormat="false" ht="12.8" hidden="false" customHeight="true" outlineLevel="0" collapsed="false">
      <c r="A85" s="15" t="s">
        <v>100</v>
      </c>
      <c r="B85" s="15" t="s">
        <v>14</v>
      </c>
      <c r="C85" s="7" t="n">
        <v>8</v>
      </c>
      <c r="D85" s="7" t="n">
        <v>8</v>
      </c>
      <c r="E85" s="7"/>
      <c r="F85" s="7" t="n">
        <v>2</v>
      </c>
      <c r="G85" s="7"/>
      <c r="H85" s="7"/>
      <c r="I85" s="13"/>
      <c r="J85" s="23" t="n">
        <f aca="false">IF($F85=1, 0, (MAX($H85,$G85,$D85,$C85)-$C85)/($F85-1))</f>
        <v>0</v>
      </c>
    </row>
    <row r="86" customFormat="false" ht="12.8" hidden="false" customHeight="true" outlineLevel="0" collapsed="false">
      <c r="A86" s="15" t="s">
        <v>101</v>
      </c>
      <c r="B86" s="15" t="s">
        <v>14</v>
      </c>
      <c r="C86" s="7" t="n">
        <v>8</v>
      </c>
      <c r="D86" s="7" t="n">
        <v>8</v>
      </c>
      <c r="E86" s="7"/>
      <c r="F86" s="7" t="n">
        <v>2</v>
      </c>
      <c r="G86" s="7"/>
      <c r="H86" s="7"/>
      <c r="I86" s="13"/>
      <c r="J86" s="23" t="n">
        <f aca="false">IF($F86=1, 0, (MAX($H86,$G86,$D86,$C86)-$C86)/($F86-1))</f>
        <v>0</v>
      </c>
    </row>
    <row r="87" customFormat="false" ht="12.8" hidden="false" customHeight="true" outlineLevel="0" collapsed="false">
      <c r="A87" s="15" t="s">
        <v>102</v>
      </c>
      <c r="B87" s="15" t="s">
        <v>28</v>
      </c>
      <c r="C87" s="7" t="n">
        <v>7</v>
      </c>
      <c r="D87" s="7" t="n">
        <v>8</v>
      </c>
      <c r="E87" s="7"/>
      <c r="F87" s="7" t="n">
        <v>2</v>
      </c>
      <c r="G87" s="7"/>
      <c r="H87" s="7"/>
      <c r="I87" s="23" t="n">
        <f aca="false">IF($F87=1, 0, (MAX($H87,$G87,$D87,$C87)-$C87)/($F87-1))</f>
        <v>1</v>
      </c>
      <c r="J87" s="7"/>
    </row>
    <row r="88" customFormat="false" ht="12.8" hidden="false" customHeight="true" outlineLevel="0" collapsed="false">
      <c r="A88" s="15" t="s">
        <v>103</v>
      </c>
      <c r="B88" s="15" t="s">
        <v>28</v>
      </c>
      <c r="C88" s="7" t="n">
        <v>9</v>
      </c>
      <c r="D88" s="7" t="n">
        <v>10</v>
      </c>
      <c r="E88" s="7"/>
      <c r="F88" s="7" t="n">
        <v>2</v>
      </c>
      <c r="G88" s="7"/>
      <c r="H88" s="7"/>
      <c r="I88" s="23" t="n">
        <f aca="false">IF($F88=1, 0, (MAX($H88,$G88,$D88,$C88)-$C88)/($F88-1))</f>
        <v>1</v>
      </c>
      <c r="J88" s="7"/>
    </row>
    <row r="89" customFormat="false" ht="12.8" hidden="false" customHeight="true" outlineLevel="0" collapsed="false">
      <c r="A89" s="15" t="s">
        <v>104</v>
      </c>
      <c r="B89" s="15" t="s">
        <v>28</v>
      </c>
      <c r="C89" s="7" t="n">
        <v>6</v>
      </c>
      <c r="D89" s="7" t="n">
        <v>9</v>
      </c>
      <c r="E89" s="7"/>
      <c r="F89" s="7" t="n">
        <v>2</v>
      </c>
      <c r="G89" s="7"/>
      <c r="H89" s="7"/>
      <c r="I89" s="23" t="n">
        <f aca="false">IF($F89=1, 0, (MAX($H89,$G89,$D89,$C89)-$C89)/($F89-1))</f>
        <v>3</v>
      </c>
      <c r="J89" s="7"/>
    </row>
    <row r="90" customFormat="false" ht="12.8" hidden="false" customHeight="true" outlineLevel="0" collapsed="false">
      <c r="A90" s="15" t="s">
        <v>105</v>
      </c>
      <c r="B90" s="15" t="s">
        <v>14</v>
      </c>
      <c r="C90" s="7" t="n">
        <v>8</v>
      </c>
      <c r="D90" s="7" t="n">
        <v>8</v>
      </c>
      <c r="E90" s="7"/>
      <c r="F90" s="7" t="n">
        <v>2</v>
      </c>
      <c r="G90" s="7"/>
      <c r="H90" s="7"/>
      <c r="I90" s="13"/>
      <c r="J90" s="23" t="n">
        <f aca="false">IF($F90=1, 0, (MAX($H90,$G90,$D90,$C90)-$C90)/($F90-1))</f>
        <v>0</v>
      </c>
    </row>
    <row r="91" customFormat="false" ht="12.8" hidden="false" customHeight="true" outlineLevel="0" collapsed="false">
      <c r="A91" s="5" t="s">
        <v>106</v>
      </c>
      <c r="B91" s="15" t="s">
        <v>28</v>
      </c>
      <c r="C91" s="7" t="n">
        <v>8</v>
      </c>
      <c r="D91" s="7" t="n">
        <v>9</v>
      </c>
      <c r="E91" s="7"/>
      <c r="F91" s="7" t="n">
        <v>2</v>
      </c>
      <c r="G91" s="7"/>
      <c r="H91" s="7"/>
      <c r="I91" s="23" t="n">
        <f aca="false">IF($F91=1, 0, (MAX($H91,$G91,$D91,$C91)-$C91)/($F91-1))</f>
        <v>1</v>
      </c>
      <c r="J91" s="7"/>
    </row>
    <row r="92" customFormat="false" ht="12.8" hidden="false" customHeight="true" outlineLevel="0" collapsed="false">
      <c r="A92" s="15" t="s">
        <v>107</v>
      </c>
      <c r="B92" s="15" t="s">
        <v>28</v>
      </c>
      <c r="C92" s="7" t="n">
        <v>7</v>
      </c>
      <c r="D92" s="7" t="n">
        <v>8</v>
      </c>
      <c r="E92" s="7"/>
      <c r="F92" s="7" t="n">
        <v>2</v>
      </c>
      <c r="G92" s="7"/>
      <c r="H92" s="7"/>
      <c r="I92" s="23" t="n">
        <f aca="false">IF($F92=1, 0, (MAX($H92,$G92,$D92,$C92)-$C92)/($F92-1))</f>
        <v>1</v>
      </c>
      <c r="J92" s="7"/>
    </row>
    <row r="93" customFormat="false" ht="12.8" hidden="false" customHeight="true" outlineLevel="0" collapsed="false">
      <c r="A93" s="5" t="s">
        <v>108</v>
      </c>
      <c r="B93" s="15" t="s">
        <v>28</v>
      </c>
      <c r="C93" s="7" t="n">
        <v>7</v>
      </c>
      <c r="D93" s="7" t="n">
        <v>8</v>
      </c>
      <c r="E93" s="7"/>
      <c r="F93" s="7" t="n">
        <v>2</v>
      </c>
      <c r="G93" s="7"/>
      <c r="H93" s="7"/>
      <c r="I93" s="23" t="n">
        <f aca="false">IF($F93=1, 0, (MAX($H93,$G93,$D93,$C93)-$C93)/($F93-1))</f>
        <v>1</v>
      </c>
      <c r="J93" s="7"/>
    </row>
    <row r="94" customFormat="false" ht="12.8" hidden="false" customHeight="true" outlineLevel="0" collapsed="false">
      <c r="A94" s="5" t="s">
        <v>109</v>
      </c>
      <c r="B94" s="15" t="s">
        <v>28</v>
      </c>
      <c r="C94" s="7" t="n">
        <v>8</v>
      </c>
      <c r="D94" s="7" t="n">
        <v>10</v>
      </c>
      <c r="E94" s="7"/>
      <c r="F94" s="7" t="n">
        <v>2</v>
      </c>
      <c r="G94" s="7"/>
      <c r="H94" s="7"/>
      <c r="I94" s="23" t="n">
        <f aca="false">IF($F94=1, 0, (MAX($H94,$G94,$D94,$C94)-$C94)/($F94-1))</f>
        <v>2</v>
      </c>
      <c r="J94" s="7"/>
    </row>
    <row r="95" customFormat="false" ht="12.8" hidden="false" customHeight="true" outlineLevel="0" collapsed="false">
      <c r="A95" s="15" t="s">
        <v>110</v>
      </c>
      <c r="B95" s="15" t="s">
        <v>14</v>
      </c>
      <c r="C95" s="7" t="n">
        <v>8</v>
      </c>
      <c r="D95" s="7" t="n">
        <v>8</v>
      </c>
      <c r="E95" s="7"/>
      <c r="F95" s="7" t="n">
        <v>2</v>
      </c>
      <c r="G95" s="7"/>
      <c r="H95" s="7"/>
      <c r="I95" s="13"/>
      <c r="J95" s="23" t="n">
        <f aca="false">IF($F95=1, 0, (MAX($H95,$G95,$D95,$C95)-$C95)/($F95-1))</f>
        <v>0</v>
      </c>
    </row>
    <row r="96" customFormat="false" ht="12.8" hidden="false" customHeight="true" outlineLevel="0" collapsed="false">
      <c r="A96" s="15" t="s">
        <v>111</v>
      </c>
      <c r="B96" s="5" t="s">
        <v>14</v>
      </c>
      <c r="C96" s="7" t="n">
        <v>8</v>
      </c>
      <c r="D96" s="7" t="n">
        <v>10</v>
      </c>
      <c r="E96" s="7"/>
      <c r="F96" s="7" t="n">
        <v>2</v>
      </c>
      <c r="G96" s="7"/>
      <c r="H96" s="7"/>
      <c r="I96" s="13"/>
      <c r="J96" s="23" t="n">
        <f aca="false">IF($F96=1, 0, (MAX($H96,$G96,$D96,$C96)-$C96)/($F96-1))</f>
        <v>2</v>
      </c>
    </row>
    <row r="97" customFormat="false" ht="12.8" hidden="false" customHeight="true" outlineLevel="0" collapsed="false">
      <c r="A97" s="15" t="s">
        <v>112</v>
      </c>
      <c r="B97" s="35" t="s">
        <v>14</v>
      </c>
      <c r="C97" s="7" t="n">
        <v>7</v>
      </c>
      <c r="D97" s="7" t="n">
        <v>9</v>
      </c>
      <c r="E97" s="7"/>
      <c r="F97" s="7" t="n">
        <v>2</v>
      </c>
      <c r="G97" s="7"/>
      <c r="H97" s="7"/>
      <c r="J97" s="23" t="n">
        <f aca="false">IF($F97=1, 0, (MAX($H97,$G97,$D97,$C97)-$C97)/($F97-1))</f>
        <v>2</v>
      </c>
    </row>
    <row r="98" customFormat="false" ht="12.8" hidden="false" customHeight="true" outlineLevel="0" collapsed="false">
      <c r="A98" s="15" t="s">
        <v>113</v>
      </c>
      <c r="B98" s="15" t="s">
        <v>28</v>
      </c>
      <c r="C98" s="7" t="n">
        <f aca="false">10/7*6</f>
        <v>8.57142857142857</v>
      </c>
      <c r="D98" s="7" t="n">
        <v>10</v>
      </c>
      <c r="E98" s="7"/>
      <c r="F98" s="7" t="n">
        <v>2</v>
      </c>
      <c r="G98" s="7"/>
      <c r="H98" s="7"/>
      <c r="I98" s="23" t="n">
        <f aca="false">IF($F98=1, 0, (MAX($H98,$G98,$D98,$C98)-$C98)/($F98-1))</f>
        <v>1.42857142857143</v>
      </c>
      <c r="J98" s="13"/>
    </row>
    <row r="99" customFormat="false" ht="12.8" hidden="false" customHeight="true" outlineLevel="0" collapsed="false">
      <c r="A99" s="5" t="s">
        <v>114</v>
      </c>
      <c r="B99" s="5" t="s">
        <v>14</v>
      </c>
      <c r="C99" s="14" t="n">
        <f aca="false">10/7*6</f>
        <v>8.57142857142857</v>
      </c>
      <c r="D99" s="14" t="n">
        <v>10</v>
      </c>
      <c r="E99" s="14"/>
      <c r="F99" s="14" t="n">
        <v>2</v>
      </c>
      <c r="G99" s="14"/>
      <c r="H99" s="14"/>
      <c r="I99" s="13"/>
      <c r="J99" s="23" t="n">
        <f aca="false">IF($F99=1, 0, (MAX($H99,$G99,$D99,$C99)-$C99)/($F99-1))</f>
        <v>1.42857142857143</v>
      </c>
    </row>
    <row r="100" customFormat="false" ht="12.8" hidden="false" customHeight="true" outlineLevel="0" collapsed="false">
      <c r="A100" s="5" t="s">
        <v>115</v>
      </c>
      <c r="B100" s="5" t="s">
        <v>28</v>
      </c>
      <c r="C100" s="14" t="n">
        <f aca="false">10/7*6</f>
        <v>8.57142857142857</v>
      </c>
      <c r="D100" s="14" t="n">
        <v>10</v>
      </c>
      <c r="E100" s="14"/>
      <c r="F100" s="14" t="n">
        <v>2</v>
      </c>
      <c r="G100" s="14"/>
      <c r="H100" s="14"/>
      <c r="I100" s="23" t="n">
        <f aca="false">IF($F100=1, 0, (MAX($H100,$G100,$D100,$C100)-$C100)/($F100-1))</f>
        <v>1.42857142857143</v>
      </c>
      <c r="J100" s="29"/>
    </row>
    <row r="101" customFormat="false" ht="12.8" hidden="false" customHeight="true" outlineLevel="0" collapsed="false">
      <c r="A101" s="5" t="s">
        <v>116</v>
      </c>
      <c r="B101" s="5" t="s">
        <v>28</v>
      </c>
      <c r="C101" s="14" t="n">
        <v>7.14</v>
      </c>
      <c r="D101" s="14" t="n">
        <v>10</v>
      </c>
      <c r="E101" s="14"/>
      <c r="F101" s="14" t="n">
        <v>2</v>
      </c>
      <c r="G101" s="14"/>
      <c r="H101" s="14"/>
      <c r="I101" s="23" t="n">
        <f aca="false">IF($F101=1, 0, (MAX($H101,$G101,$D101,$C101)-$C101)/($F101-1))</f>
        <v>2.86</v>
      </c>
      <c r="J101" s="29"/>
    </row>
    <row r="102" customFormat="false" ht="12.8" hidden="false" customHeight="true" outlineLevel="0" collapsed="false">
      <c r="A102" s="5" t="s">
        <v>117</v>
      </c>
      <c r="B102" s="5" t="s">
        <v>28</v>
      </c>
      <c r="C102" s="14" t="n">
        <f aca="false">10/7*6</f>
        <v>8.57142857142857</v>
      </c>
      <c r="D102" s="14" t="n">
        <v>10</v>
      </c>
      <c r="E102" s="14"/>
      <c r="F102" s="14" t="n">
        <v>2</v>
      </c>
      <c r="G102" s="14"/>
      <c r="H102" s="14"/>
      <c r="I102" s="23" t="n">
        <f aca="false">IF($F102=1, 0, (MAX($H102,$G102,$D102,$C102)-$C102)/($F102-1))</f>
        <v>1.42857142857143</v>
      </c>
      <c r="J102" s="29"/>
    </row>
    <row r="103" customFormat="false" ht="12.8" hidden="false" customHeight="true" outlineLevel="0" collapsed="false">
      <c r="A103" s="5" t="s">
        <v>118</v>
      </c>
      <c r="B103" s="5" t="s">
        <v>28</v>
      </c>
      <c r="C103" s="14" t="n">
        <f aca="false">10/7*6</f>
        <v>8.57142857142857</v>
      </c>
      <c r="D103" s="14" t="n">
        <v>10</v>
      </c>
      <c r="E103" s="14"/>
      <c r="F103" s="14" t="n">
        <v>2</v>
      </c>
      <c r="G103" s="14"/>
      <c r="H103" s="14"/>
      <c r="I103" s="23" t="n">
        <f aca="false">IF($F103=1, 0, (MAX($H103,$G103,$D103,$C103)-$C103)/($F103-1))</f>
        <v>1.42857142857143</v>
      </c>
      <c r="J103" s="29"/>
    </row>
    <row r="104" customFormat="false" ht="12.8" hidden="false" customHeight="true" outlineLevel="0" collapsed="false">
      <c r="A104" s="5" t="s">
        <v>119</v>
      </c>
      <c r="B104" s="35" t="s">
        <v>14</v>
      </c>
      <c r="C104" s="14" t="n">
        <v>7.14</v>
      </c>
      <c r="D104" s="14" t="n">
        <v>10</v>
      </c>
      <c r="E104" s="14"/>
      <c r="F104" s="14" t="n">
        <v>2</v>
      </c>
      <c r="G104" s="14"/>
      <c r="H104" s="14"/>
      <c r="I104" s="14"/>
      <c r="J104" s="23" t="n">
        <f aca="false">IF($F104=1, 0, (MAX($H104,$G104,$D104,$C104)-$C104)/($F104-1))</f>
        <v>2.86</v>
      </c>
    </row>
    <row r="105" customFormat="false" ht="12.8" hidden="false" customHeight="true" outlineLevel="0" collapsed="false">
      <c r="A105" s="5" t="s">
        <v>120</v>
      </c>
      <c r="B105" s="5" t="s">
        <v>14</v>
      </c>
      <c r="C105" s="7" t="n">
        <f aca="false">11*10/13</f>
        <v>8.46153846153846</v>
      </c>
      <c r="D105" s="7" t="n">
        <v>10</v>
      </c>
      <c r="E105" s="7"/>
      <c r="F105" s="7" t="n">
        <v>2</v>
      </c>
      <c r="G105" s="7"/>
      <c r="H105" s="7"/>
      <c r="I105" s="7"/>
      <c r="J105" s="23" t="n">
        <f aca="false">IF($F105=1, 0, (MAX($H105,$G105,$D105,$C105)-$C105)/($F105-1))</f>
        <v>1.53846153846154</v>
      </c>
    </row>
    <row r="106" customFormat="false" ht="12.8" hidden="false" customHeight="true" outlineLevel="0" collapsed="false">
      <c r="A106" s="5" t="s">
        <v>121</v>
      </c>
      <c r="B106" s="5" t="s">
        <v>14</v>
      </c>
      <c r="C106" s="7" t="n">
        <f aca="false">10*10/13</f>
        <v>7.69230769230769</v>
      </c>
      <c r="D106" s="7" t="n">
        <v>10</v>
      </c>
      <c r="E106" s="7"/>
      <c r="F106" s="7" t="n">
        <v>2</v>
      </c>
      <c r="G106" s="7"/>
      <c r="H106" s="7"/>
      <c r="I106" s="7"/>
      <c r="J106" s="23" t="n">
        <f aca="false">IF($F106=1, 0, (MAX($H106,$G106,$D106,$C106)-$C106)/($F106-1))</f>
        <v>2.30769230769231</v>
      </c>
    </row>
    <row r="107" customFormat="false" ht="12.8" hidden="false" customHeight="true" outlineLevel="0" collapsed="false">
      <c r="A107" s="5" t="s">
        <v>122</v>
      </c>
      <c r="B107" s="5" t="s">
        <v>14</v>
      </c>
      <c r="C107" s="7" t="n">
        <f aca="false">11*10/13</f>
        <v>8.46153846153846</v>
      </c>
      <c r="D107" s="7" t="n">
        <f aca="false">11*10/13</f>
        <v>8.46153846153846</v>
      </c>
      <c r="E107" s="7"/>
      <c r="F107" s="7" t="n">
        <v>2</v>
      </c>
      <c r="G107" s="7"/>
      <c r="H107" s="7"/>
      <c r="I107" s="7"/>
      <c r="J107" s="23" t="n">
        <f aca="false">IF($F107=1, 0, (MAX($H107,$G107,$D107,$C107)-$C107)/($F107-1))</f>
        <v>0</v>
      </c>
    </row>
    <row r="108" customFormat="false" ht="12.8" hidden="false" customHeight="true" outlineLevel="0" collapsed="false">
      <c r="A108" s="5" t="s">
        <v>123</v>
      </c>
      <c r="B108" s="5" t="s">
        <v>28</v>
      </c>
      <c r="C108" s="7" t="n">
        <f aca="false">11*10/13</f>
        <v>8.46153846153846</v>
      </c>
      <c r="D108" s="7" t="n">
        <v>10</v>
      </c>
      <c r="E108" s="7"/>
      <c r="F108" s="7" t="n">
        <v>2</v>
      </c>
      <c r="G108" s="7"/>
      <c r="H108" s="7"/>
      <c r="I108" s="23" t="n">
        <f aca="false">IF($F108=1, 0, (MAX($H108,$G108,$D108,$C108)-$C108)/($F108-1))</f>
        <v>1.53846153846154</v>
      </c>
      <c r="J108" s="13"/>
    </row>
    <row r="109" customFormat="false" ht="12.8" hidden="false" customHeight="true" outlineLevel="0" collapsed="false">
      <c r="A109" s="5" t="s">
        <v>124</v>
      </c>
      <c r="B109" s="5" t="s">
        <v>28</v>
      </c>
      <c r="C109" s="7" t="n">
        <f aca="false">11*10/13</f>
        <v>8.46153846153846</v>
      </c>
      <c r="D109" s="7" t="n">
        <v>10</v>
      </c>
      <c r="E109" s="7"/>
      <c r="F109" s="7" t="n">
        <v>2</v>
      </c>
      <c r="G109" s="7"/>
      <c r="H109" s="7"/>
      <c r="I109" s="23" t="n">
        <f aca="false">IF($F109=1, 0, (MAX($H109,$G109,$D109,$C109)-$C109)/($F109-1))</f>
        <v>1.53846153846154</v>
      </c>
      <c r="J109" s="13"/>
    </row>
    <row r="110" customFormat="false" ht="12.8" hidden="false" customHeight="true" outlineLevel="0" collapsed="false">
      <c r="A110" s="5" t="s">
        <v>125</v>
      </c>
      <c r="B110" s="5" t="s">
        <v>28</v>
      </c>
      <c r="C110" s="7" t="n">
        <f aca="false">11*10/13</f>
        <v>8.46153846153846</v>
      </c>
      <c r="D110" s="7" t="n">
        <v>10</v>
      </c>
      <c r="E110" s="7"/>
      <c r="F110" s="7" t="n">
        <v>2</v>
      </c>
      <c r="G110" s="7"/>
      <c r="H110" s="7"/>
      <c r="I110" s="23" t="n">
        <f aca="false">IF($F110=1, 0, (MAX($H110,$G110,$D110,$C110)-$C110)/($F110-1))</f>
        <v>1.53846153846154</v>
      </c>
      <c r="J110" s="13"/>
    </row>
    <row r="111" customFormat="false" ht="12.8" hidden="false" customHeight="true" outlineLevel="0" collapsed="false">
      <c r="A111" s="5" t="s">
        <v>126</v>
      </c>
      <c r="B111" s="35" t="s">
        <v>14</v>
      </c>
      <c r="C111" s="7" t="n">
        <f aca="false">11*10/13</f>
        <v>8.46153846153846</v>
      </c>
      <c r="D111" s="7" t="n">
        <v>10</v>
      </c>
      <c r="E111" s="7"/>
      <c r="F111" s="7" t="n">
        <v>2</v>
      </c>
      <c r="G111" s="7"/>
      <c r="H111" s="7"/>
      <c r="I111" s="7"/>
      <c r="J111" s="23" t="n">
        <f aca="false">IF($F111=1, 0, (MAX($H111,$G111,$D111,$C111)-$C111)/($F111-1))</f>
        <v>1.53846153846154</v>
      </c>
    </row>
    <row r="112" customFormat="false" ht="12.8" hidden="false" customHeight="true" outlineLevel="0" collapsed="false">
      <c r="A112" s="5" t="s">
        <v>127</v>
      </c>
      <c r="B112" s="35" t="s">
        <v>14</v>
      </c>
      <c r="C112" s="7" t="n">
        <v>8.57</v>
      </c>
      <c r="D112" s="7" t="n">
        <v>10</v>
      </c>
      <c r="E112" s="7"/>
      <c r="F112" s="7" t="n">
        <v>2</v>
      </c>
      <c r="G112" s="7"/>
      <c r="H112" s="7"/>
      <c r="I112" s="7"/>
      <c r="J112" s="23" t="n">
        <f aca="false">IF($F112=1, 0, (MAX($H112,$G112,$D112,$C112)-$C112)/($F112-1))</f>
        <v>1.43</v>
      </c>
    </row>
    <row r="113" customFormat="false" ht="12.8" hidden="false" customHeight="true" outlineLevel="0" collapsed="false">
      <c r="A113" s="5" t="s">
        <v>128</v>
      </c>
      <c r="B113" s="35" t="s">
        <v>14</v>
      </c>
      <c r="C113" s="7" t="n">
        <v>8.57</v>
      </c>
      <c r="D113" s="7" t="n">
        <v>8.57</v>
      </c>
      <c r="E113" s="7"/>
      <c r="F113" s="7" t="n">
        <v>2</v>
      </c>
      <c r="G113" s="7"/>
      <c r="H113" s="7"/>
      <c r="I113" s="7"/>
      <c r="J113" s="23" t="n">
        <f aca="false">IF($F113=1, 0, (MAX($H113,$G113,$D113,$C113)-$C113)/($F113-1))</f>
        <v>0</v>
      </c>
    </row>
    <row r="114" customFormat="false" ht="12.8" hidden="false" customHeight="true" outlineLevel="0" collapsed="false">
      <c r="A114" s="5" t="s">
        <v>129</v>
      </c>
      <c r="B114" s="35" t="s">
        <v>14</v>
      </c>
      <c r="C114" s="7" t="n">
        <v>8.57</v>
      </c>
      <c r="D114" s="7" t="n">
        <v>10</v>
      </c>
      <c r="E114" s="7"/>
      <c r="F114" s="7" t="n">
        <v>2</v>
      </c>
      <c r="G114" s="7"/>
      <c r="H114" s="7"/>
      <c r="I114" s="7"/>
      <c r="J114" s="23" t="n">
        <f aca="false">IF($F114=1, 0, (MAX($H114,$G114,$D114,$C114)-$C114)/($F114-1))</f>
        <v>1.43</v>
      </c>
    </row>
    <row r="115" customFormat="false" ht="12.8" hidden="false" customHeight="true" outlineLevel="0" collapsed="false">
      <c r="A115" s="5" t="s">
        <v>130</v>
      </c>
      <c r="B115" s="35" t="s">
        <v>14</v>
      </c>
      <c r="C115" s="7" t="n">
        <v>8.57</v>
      </c>
      <c r="D115" s="7" t="n">
        <v>10</v>
      </c>
      <c r="E115" s="7"/>
      <c r="F115" s="7" t="n">
        <v>2</v>
      </c>
      <c r="G115" s="7"/>
      <c r="H115" s="7"/>
      <c r="I115" s="7"/>
      <c r="J115" s="23" t="n">
        <f aca="false">IF($F115=1, 0, (MAX($H115,$G115,$D115,$C115)-$C115)/($F115-1))</f>
        <v>1.43</v>
      </c>
    </row>
    <row r="116" customFormat="false" ht="12.8" hidden="false" customHeight="true" outlineLevel="0" collapsed="false">
      <c r="A116" s="5" t="s">
        <v>131</v>
      </c>
      <c r="B116" s="35" t="s">
        <v>14</v>
      </c>
      <c r="C116" s="7" t="n">
        <v>8.57</v>
      </c>
      <c r="D116" s="7" t="n">
        <v>10</v>
      </c>
      <c r="E116" s="7"/>
      <c r="F116" s="7" t="n">
        <v>2</v>
      </c>
      <c r="G116" s="7"/>
      <c r="H116" s="7"/>
      <c r="I116" s="7"/>
      <c r="J116" s="23" t="n">
        <f aca="false">IF($F116=1, 0, (MAX($H116,$G116,$D116,$C116)-$C116)/($F116-1))</f>
        <v>1.43</v>
      </c>
    </row>
    <row r="117" customFormat="false" ht="12.8" hidden="false" customHeight="true" outlineLevel="0" collapsed="false">
      <c r="A117" s="5" t="s">
        <v>132</v>
      </c>
      <c r="B117" s="35" t="s">
        <v>28</v>
      </c>
      <c r="C117" s="7" t="n">
        <v>8.57</v>
      </c>
      <c r="D117" s="7" t="n">
        <v>10</v>
      </c>
      <c r="E117" s="7"/>
      <c r="F117" s="7" t="n">
        <v>2</v>
      </c>
      <c r="G117" s="7"/>
      <c r="H117" s="7"/>
      <c r="I117" s="23" t="n">
        <f aca="false">IF($F117=1, 0, (MAX($H117,$G117,$D117,$C117)-$C117)/($F117-1))</f>
        <v>1.43</v>
      </c>
      <c r="J117" s="13"/>
    </row>
    <row r="118" customFormat="false" ht="12.8" hidden="false" customHeight="true" outlineLevel="0" collapsed="false">
      <c r="A118" s="5" t="s">
        <v>133</v>
      </c>
      <c r="B118" s="35" t="s">
        <v>28</v>
      </c>
      <c r="C118" s="7" t="n">
        <v>8.57</v>
      </c>
      <c r="D118" s="7" t="n">
        <v>10</v>
      </c>
      <c r="E118" s="7"/>
      <c r="F118" s="7" t="n">
        <v>2</v>
      </c>
      <c r="G118" s="7"/>
      <c r="H118" s="7"/>
      <c r="I118" s="23" t="n">
        <f aca="false">IF($F118=1, 0, (MAX($H118,$G118,$D118,$C118)-$C118)/($F118-1))</f>
        <v>1.43</v>
      </c>
      <c r="J118" s="13"/>
    </row>
    <row r="119" customFormat="false" ht="12.8" hidden="false" customHeight="true" outlineLevel="0" collapsed="false">
      <c r="A119" s="5" t="s">
        <v>134</v>
      </c>
      <c r="B119" s="35" t="s">
        <v>14</v>
      </c>
      <c r="C119" s="7" t="n">
        <v>8.57</v>
      </c>
      <c r="D119" s="7" t="n">
        <v>8.57</v>
      </c>
      <c r="E119" s="7"/>
      <c r="F119" s="7" t="n">
        <v>2</v>
      </c>
      <c r="G119" s="7"/>
      <c r="H119" s="7"/>
      <c r="I119" s="7"/>
      <c r="J119" s="23" t="n">
        <f aca="false">IF($F119=1, 0, (MAX($H119,$G119,$D119,$C119)-$C119)/($F119-1))</f>
        <v>0</v>
      </c>
    </row>
    <row r="120" customFormat="false" ht="12.8" hidden="false" customHeight="true" outlineLevel="0" collapsed="false">
      <c r="A120" s="5" t="s">
        <v>135</v>
      </c>
      <c r="B120" s="35" t="s">
        <v>14</v>
      </c>
      <c r="C120" s="7" t="n">
        <v>8.57</v>
      </c>
      <c r="D120" s="7" t="n">
        <v>8.57</v>
      </c>
      <c r="E120" s="7"/>
      <c r="F120" s="7" t="n">
        <v>2</v>
      </c>
      <c r="G120" s="7"/>
      <c r="H120" s="7"/>
      <c r="I120" s="7"/>
      <c r="J120" s="23" t="n">
        <f aca="false">IF($F120=1, 0, (MAX($H120,$G120,$D120,$C120)-$C120)/($F120-1))</f>
        <v>0</v>
      </c>
    </row>
    <row r="121" customFormat="false" ht="12.8" hidden="false" customHeight="true" outlineLevel="0" collapsed="false">
      <c r="A121" s="5" t="s">
        <v>136</v>
      </c>
      <c r="B121" s="35" t="s">
        <v>28</v>
      </c>
      <c r="C121" s="7" t="n">
        <v>7.14</v>
      </c>
      <c r="D121" s="7" t="n">
        <v>10</v>
      </c>
      <c r="E121" s="7"/>
      <c r="F121" s="7" t="n">
        <v>2</v>
      </c>
      <c r="G121" s="7"/>
      <c r="H121" s="7"/>
      <c r="I121" s="23" t="n">
        <f aca="false">IF($F121=1, 0, (MAX($H121,$G121,$D121,$C121)-$C121)/($F121-1))</f>
        <v>2.86</v>
      </c>
      <c r="J121" s="13"/>
    </row>
    <row r="122" customFormat="false" ht="12.8" hidden="false" customHeight="true" outlineLevel="0" collapsed="false">
      <c r="A122" s="15" t="s">
        <v>137</v>
      </c>
      <c r="B122" s="35" t="s">
        <v>14</v>
      </c>
      <c r="C122" s="7" t="n">
        <v>8.57</v>
      </c>
      <c r="D122" s="7" t="n">
        <v>10</v>
      </c>
      <c r="E122" s="7"/>
      <c r="F122" s="7" t="n">
        <v>2</v>
      </c>
      <c r="G122" s="7"/>
      <c r="H122" s="7"/>
      <c r="I122" s="7"/>
      <c r="J122" s="23" t="n">
        <f aca="false">IF($F122=1, 0, (MAX($H122,$G122,$D122,$C122)-$C122)/($F122-1))</f>
        <v>1.43</v>
      </c>
    </row>
    <row r="123" customFormat="false" ht="12.8" hidden="false" customHeight="true" outlineLevel="0" collapsed="false">
      <c r="A123" s="15" t="s">
        <v>138</v>
      </c>
      <c r="B123" s="15" t="s">
        <v>28</v>
      </c>
      <c r="C123" s="7" t="n">
        <v>8</v>
      </c>
      <c r="D123" s="7" t="n">
        <v>10</v>
      </c>
      <c r="E123" s="7"/>
      <c r="F123" s="7" t="n">
        <v>2</v>
      </c>
      <c r="G123" s="7"/>
      <c r="H123" s="7"/>
      <c r="I123" s="23" t="n">
        <f aca="false">IF($F123=1, 0, (MAX($H123,$G123,$D123,$C123)-$C123)/($F123-1))</f>
        <v>2</v>
      </c>
      <c r="J123" s="13"/>
    </row>
    <row r="124" customFormat="false" ht="12.8" hidden="false" customHeight="true" outlineLevel="0" collapsed="false">
      <c r="A124" s="15" t="s">
        <v>139</v>
      </c>
      <c r="B124" s="5" t="s">
        <v>14</v>
      </c>
      <c r="C124" s="7" t="n">
        <v>8</v>
      </c>
      <c r="D124" s="7" t="n">
        <v>8</v>
      </c>
      <c r="E124" s="7"/>
      <c r="F124" s="7" t="n">
        <v>2</v>
      </c>
      <c r="G124" s="7"/>
      <c r="H124" s="7"/>
      <c r="I124" s="7"/>
      <c r="J124" s="23" t="n">
        <f aca="false">IF($F124=1, 0, (MAX($H124,$G124,$D124,$C124)-$C124)/($F124-1))</f>
        <v>0</v>
      </c>
    </row>
    <row r="125" customFormat="false" ht="12.8" hidden="false" customHeight="true" outlineLevel="0" collapsed="false">
      <c r="A125" s="15" t="s">
        <v>140</v>
      </c>
      <c r="B125" s="15" t="s">
        <v>28</v>
      </c>
      <c r="C125" s="7" t="n">
        <v>8</v>
      </c>
      <c r="D125" s="7" t="n">
        <v>10</v>
      </c>
      <c r="E125" s="7"/>
      <c r="F125" s="7" t="n">
        <v>2</v>
      </c>
      <c r="G125" s="7"/>
      <c r="H125" s="7"/>
      <c r="I125" s="23" t="n">
        <f aca="false">IF($F125=1, 0, (MAX($H125,$G125,$D125,$C125)-$C125)/($F125-1))</f>
        <v>2</v>
      </c>
      <c r="J125" s="13"/>
    </row>
    <row r="126" customFormat="false" ht="12.8" hidden="false" customHeight="true" outlineLevel="0" collapsed="false">
      <c r="A126" s="15" t="s">
        <v>141</v>
      </c>
      <c r="B126" s="5" t="s">
        <v>14</v>
      </c>
      <c r="C126" s="7" t="n">
        <v>8</v>
      </c>
      <c r="D126" s="7" t="n">
        <v>10</v>
      </c>
      <c r="E126" s="7"/>
      <c r="F126" s="7" t="n">
        <v>2</v>
      </c>
      <c r="G126" s="7"/>
      <c r="H126" s="7"/>
      <c r="I126" s="7"/>
      <c r="J126" s="23" t="n">
        <f aca="false">IF($F126=1, 0, (MAX($H126,$G126,$D126,$C126)-$C126)/($F126-1))</f>
        <v>2</v>
      </c>
    </row>
    <row r="127" customFormat="false" ht="12.8" hidden="false" customHeight="true" outlineLevel="0" collapsed="false">
      <c r="A127" s="15" t="s">
        <v>142</v>
      </c>
      <c r="B127" s="15" t="s">
        <v>28</v>
      </c>
      <c r="C127" s="7" t="n">
        <v>8</v>
      </c>
      <c r="D127" s="7" t="n">
        <v>10</v>
      </c>
      <c r="E127" s="7"/>
      <c r="F127" s="7" t="n">
        <v>2</v>
      </c>
      <c r="G127" s="7"/>
      <c r="H127" s="7"/>
      <c r="I127" s="23" t="n">
        <f aca="false">IF($F127=1, 0, (MAX($H127,$G127,$D127,$C127)-$C127)/($F127-1))</f>
        <v>2</v>
      </c>
      <c r="J127" s="13"/>
    </row>
    <row r="128" customFormat="false" ht="12.8" hidden="false" customHeight="true" outlineLevel="0" collapsed="false">
      <c r="A128" s="15" t="s">
        <v>143</v>
      </c>
      <c r="B128" s="15" t="s">
        <v>28</v>
      </c>
      <c r="C128" s="7" t="n">
        <v>8</v>
      </c>
      <c r="D128" s="7" t="n">
        <v>10</v>
      </c>
      <c r="E128" s="7"/>
      <c r="F128" s="7" t="n">
        <v>2</v>
      </c>
      <c r="G128" s="7"/>
      <c r="H128" s="7"/>
      <c r="I128" s="23" t="n">
        <f aca="false">IF($F128=1, 0, (MAX($H128,$G128,$D128,$C128)-$C128)/($F128-1))</f>
        <v>2</v>
      </c>
      <c r="J128" s="13"/>
    </row>
    <row r="129" customFormat="false" ht="12.8" hidden="false" customHeight="true" outlineLevel="0" collapsed="false">
      <c r="A129" s="15" t="s">
        <v>144</v>
      </c>
      <c r="B129" s="15" t="s">
        <v>28</v>
      </c>
      <c r="C129" s="7" t="n">
        <v>8</v>
      </c>
      <c r="D129" s="7" t="n">
        <v>10</v>
      </c>
      <c r="E129" s="7"/>
      <c r="F129" s="7" t="n">
        <v>2</v>
      </c>
      <c r="G129" s="7"/>
      <c r="H129" s="7"/>
      <c r="I129" s="23" t="n">
        <f aca="false">IF($F129=1, 0, (MAX($H129,$G129,$D129,$C129)-$C129)/($F129-1))</f>
        <v>2</v>
      </c>
      <c r="J129" s="13"/>
    </row>
    <row r="130" customFormat="false" ht="12.8" hidden="false" customHeight="true" outlineLevel="0" collapsed="false">
      <c r="A130" s="15" t="s">
        <v>145</v>
      </c>
      <c r="B130" s="15" t="s">
        <v>28</v>
      </c>
      <c r="C130" s="7" t="n">
        <v>8</v>
      </c>
      <c r="D130" s="7" t="n">
        <v>10</v>
      </c>
      <c r="E130" s="7"/>
      <c r="F130" s="7" t="n">
        <v>2</v>
      </c>
      <c r="G130" s="7"/>
      <c r="H130" s="7"/>
      <c r="I130" s="23" t="n">
        <f aca="false">IF($F130=1, 0, (MAX($H130,$G130,$D130,$C130)-$C130)/($F130-1))</f>
        <v>2</v>
      </c>
      <c r="J130" s="13"/>
    </row>
    <row r="131" customFormat="false" ht="12.8" hidden="false" customHeight="true" outlineLevel="0" collapsed="false">
      <c r="A131" s="15" t="s">
        <v>146</v>
      </c>
      <c r="B131" s="15" t="s">
        <v>28</v>
      </c>
      <c r="C131" s="7" t="n">
        <v>8</v>
      </c>
      <c r="D131" s="7" t="n">
        <v>10</v>
      </c>
      <c r="E131" s="7"/>
      <c r="F131" s="7" t="n">
        <v>2</v>
      </c>
      <c r="G131" s="7"/>
      <c r="H131" s="7"/>
      <c r="I131" s="23" t="n">
        <f aca="false">IF($F131=1, 0, (MAX($H131,$G131,$D131,$C131)-$C131)/($F131-1))</f>
        <v>2</v>
      </c>
      <c r="J131" s="13"/>
    </row>
    <row r="132" customFormat="false" ht="12.8" hidden="false" customHeight="true" outlineLevel="0" collapsed="false">
      <c r="A132" s="15" t="s">
        <v>147</v>
      </c>
      <c r="B132" s="15" t="s">
        <v>28</v>
      </c>
      <c r="C132" s="7" t="n">
        <v>8</v>
      </c>
      <c r="D132" s="7" t="n">
        <v>10</v>
      </c>
      <c r="E132" s="7"/>
      <c r="F132" s="7" t="n">
        <v>2</v>
      </c>
      <c r="G132" s="7"/>
      <c r="H132" s="7"/>
      <c r="I132" s="23" t="n">
        <f aca="false">IF($F132=1, 0, (MAX($H132,$G132,$D132,$C132)-$C132)/($F132-1))</f>
        <v>2</v>
      </c>
      <c r="J132" s="13"/>
    </row>
    <row r="133" customFormat="false" ht="12.8" hidden="false" customHeight="true" outlineLevel="0" collapsed="false">
      <c r="A133" s="5" t="s">
        <v>148</v>
      </c>
      <c r="B133" s="15" t="s">
        <v>28</v>
      </c>
      <c r="C133" s="7" t="n">
        <v>8</v>
      </c>
      <c r="D133" s="7" t="n">
        <v>10</v>
      </c>
      <c r="E133" s="7"/>
      <c r="F133" s="7" t="n">
        <v>2</v>
      </c>
      <c r="G133" s="7"/>
      <c r="H133" s="7"/>
      <c r="I133" s="23" t="n">
        <f aca="false">IF($F133=1, 0, (MAX($H133,$G133,$D133,$C133)-$C133)/($F133-1))</f>
        <v>2</v>
      </c>
      <c r="J133" s="13"/>
    </row>
    <row r="134" customFormat="false" ht="12.8" hidden="false" customHeight="true" outlineLevel="0" collapsed="false">
      <c r="A134" s="15" t="s">
        <v>149</v>
      </c>
      <c r="B134" s="15" t="s">
        <v>28</v>
      </c>
      <c r="C134" s="7" t="n">
        <v>8</v>
      </c>
      <c r="D134" s="7" t="n">
        <v>10</v>
      </c>
      <c r="E134" s="7"/>
      <c r="F134" s="7" t="n">
        <v>2</v>
      </c>
      <c r="G134" s="7"/>
      <c r="H134" s="7"/>
      <c r="I134" s="23" t="n">
        <f aca="false">IF($F134=1, 0, (MAX($H134,$G134,$D134,$C134)-$C134)/($F134-1))</f>
        <v>2</v>
      </c>
      <c r="J134" s="13"/>
    </row>
    <row r="135" customFormat="false" ht="12.8" hidden="false" customHeight="true" outlineLevel="0" collapsed="false">
      <c r="A135" s="5" t="s">
        <v>150</v>
      </c>
      <c r="B135" s="15" t="s">
        <v>14</v>
      </c>
      <c r="C135" s="7" t="n">
        <v>8</v>
      </c>
      <c r="D135" s="7" t="n">
        <v>8</v>
      </c>
      <c r="E135" s="7"/>
      <c r="F135" s="7" t="n">
        <v>2</v>
      </c>
      <c r="G135" s="7"/>
      <c r="H135" s="7"/>
      <c r="I135" s="7"/>
      <c r="J135" s="23" t="n">
        <f aca="false">IF($F135=1, 0, (MAX($H135,$G135,$D135,$C135)-$C135)/($F135-1))</f>
        <v>0</v>
      </c>
    </row>
    <row r="136" customFormat="false" ht="12.8" hidden="false" customHeight="true" outlineLevel="0" collapsed="false">
      <c r="A136" s="5" t="s">
        <v>151</v>
      </c>
      <c r="B136" s="5" t="s">
        <v>28</v>
      </c>
      <c r="C136" s="7" t="n">
        <v>8</v>
      </c>
      <c r="D136" s="7" t="n">
        <v>8</v>
      </c>
      <c r="E136" s="7"/>
      <c r="F136" s="7" t="n">
        <v>2</v>
      </c>
      <c r="G136" s="7"/>
      <c r="H136" s="7"/>
      <c r="I136" s="23" t="n">
        <f aca="false">IF($F136=1, 0, (MAX($H136,$G136,$D136,$C136)-$C136)/($F136-1))</f>
        <v>0</v>
      </c>
      <c r="J136" s="23"/>
    </row>
    <row r="137" customFormat="false" ht="12.8" hidden="false" customHeight="true" outlineLevel="0" collapsed="false">
      <c r="A137" s="5" t="s">
        <v>152</v>
      </c>
      <c r="B137" s="5" t="s">
        <v>28</v>
      </c>
      <c r="C137" s="7" t="n">
        <v>4</v>
      </c>
      <c r="D137" s="7" t="n">
        <v>6</v>
      </c>
      <c r="E137" s="7"/>
      <c r="F137" s="7" t="n">
        <v>2</v>
      </c>
      <c r="G137" s="7"/>
      <c r="H137" s="7"/>
      <c r="I137" s="23" t="n">
        <f aca="false">IF($F137=1, 0, (MAX($H137,$G137,$D137,$C137)-$C137)/($F137-1))</f>
        <v>2</v>
      </c>
      <c r="J137" s="23"/>
    </row>
    <row r="138" customFormat="false" ht="12.8" hidden="false" customHeight="true" outlineLevel="0" collapsed="false">
      <c r="A138" s="15" t="s">
        <v>153</v>
      </c>
      <c r="B138" s="15" t="s">
        <v>28</v>
      </c>
      <c r="C138" s="7" t="n">
        <v>6</v>
      </c>
      <c r="D138" s="7" t="n">
        <v>10</v>
      </c>
      <c r="E138" s="7"/>
      <c r="F138" s="7" t="n">
        <v>2</v>
      </c>
      <c r="G138" s="7"/>
      <c r="H138" s="7"/>
      <c r="I138" s="23" t="n">
        <f aca="false">IF($F138=1, 0, (MAX($H138,$G138,$D138,$C138)-$C138)/($F138-1))</f>
        <v>4</v>
      </c>
      <c r="J138" s="13"/>
    </row>
    <row r="139" customFormat="false" ht="12.8" hidden="false" customHeight="true" outlineLevel="0" collapsed="false">
      <c r="A139" s="15" t="s">
        <v>154</v>
      </c>
      <c r="B139" s="35" t="s">
        <v>14</v>
      </c>
      <c r="C139" s="7" t="n">
        <v>6</v>
      </c>
      <c r="D139" s="7" t="n">
        <v>6</v>
      </c>
      <c r="E139" s="7"/>
      <c r="F139" s="7" t="n">
        <v>2</v>
      </c>
      <c r="G139" s="7"/>
      <c r="H139" s="7"/>
      <c r="I139" s="7"/>
      <c r="J139" s="23" t="n">
        <f aca="false">IF($F139=1, 0, (MAX($H139,$G139,$D139,$C139)-$C139)/($F139-1))</f>
        <v>0</v>
      </c>
    </row>
    <row r="140" customFormat="false" ht="12.8" hidden="false" customHeight="true" outlineLevel="0" collapsed="false">
      <c r="A140" s="15" t="s">
        <v>155</v>
      </c>
      <c r="B140" s="36" t="s">
        <v>28</v>
      </c>
      <c r="C140" s="7" t="n">
        <v>7</v>
      </c>
      <c r="D140" s="7" t="n">
        <v>10</v>
      </c>
      <c r="E140" s="7"/>
      <c r="F140" s="7" t="n">
        <v>2</v>
      </c>
      <c r="G140" s="7"/>
      <c r="H140" s="7"/>
      <c r="I140" s="23" t="n">
        <f aca="false">IF($F140=1, 0, (MAX($H140,$G140,$D140,$C140)-$C140)/($F140-1))</f>
        <v>3</v>
      </c>
      <c r="J140" s="13"/>
    </row>
    <row r="141" customFormat="false" ht="12.8" hidden="false" customHeight="true" outlineLevel="0" collapsed="false">
      <c r="A141" s="15" t="s">
        <v>156</v>
      </c>
      <c r="B141" s="36" t="s">
        <v>28</v>
      </c>
      <c r="C141" s="7" t="n">
        <v>9</v>
      </c>
      <c r="D141" s="7" t="n">
        <v>10</v>
      </c>
      <c r="E141" s="7"/>
      <c r="F141" s="7" t="n">
        <v>2</v>
      </c>
      <c r="G141" s="7"/>
      <c r="H141" s="7"/>
      <c r="I141" s="23" t="n">
        <f aca="false">IF($F141=1, 0, (MAX($H141,$G141,$D141,$C141)-$C141)/($F141-1))</f>
        <v>1</v>
      </c>
      <c r="J141" s="13"/>
    </row>
    <row r="142" customFormat="false" ht="12.8" hidden="false" customHeight="true" outlineLevel="0" collapsed="false">
      <c r="A142" s="5" t="s">
        <v>157</v>
      </c>
      <c r="B142" s="36" t="s">
        <v>28</v>
      </c>
      <c r="C142" s="7" t="n">
        <v>7</v>
      </c>
      <c r="D142" s="7" t="n">
        <v>9</v>
      </c>
      <c r="E142" s="7"/>
      <c r="F142" s="7" t="n">
        <v>2</v>
      </c>
      <c r="G142" s="7"/>
      <c r="H142" s="7"/>
      <c r="I142" s="23" t="n">
        <f aca="false">IF($F142=1, 0, (MAX($H142,$G142,$D142,$C142)-$C142)/($F142-1))</f>
        <v>2</v>
      </c>
      <c r="J142" s="13"/>
    </row>
    <row r="143" customFormat="false" ht="12.8" hidden="false" customHeight="true" outlineLevel="0" collapsed="false">
      <c r="A143" s="15" t="s">
        <v>158</v>
      </c>
      <c r="B143" s="36" t="s">
        <v>28</v>
      </c>
      <c r="C143" s="7" t="n">
        <v>8</v>
      </c>
      <c r="D143" s="7" t="n">
        <v>9</v>
      </c>
      <c r="E143" s="7"/>
      <c r="F143" s="7" t="n">
        <v>3</v>
      </c>
      <c r="G143" s="7" t="n">
        <v>10</v>
      </c>
      <c r="H143" s="7"/>
      <c r="I143" s="23" t="n">
        <f aca="false">IF($F143=1, 0, (MAX($H143,$G143,$D143,$C143)-$C143)/($F143-1))</f>
        <v>1</v>
      </c>
      <c r="J143" s="13"/>
    </row>
    <row r="144" customFormat="false" ht="12.8" hidden="false" customHeight="true" outlineLevel="0" collapsed="false">
      <c r="A144" s="15" t="s">
        <v>159</v>
      </c>
      <c r="B144" s="36" t="s">
        <v>28</v>
      </c>
      <c r="C144" s="7" t="n">
        <v>9</v>
      </c>
      <c r="D144" s="7" t="n">
        <v>10</v>
      </c>
      <c r="E144" s="7"/>
      <c r="F144" s="7" t="n">
        <v>2</v>
      </c>
      <c r="G144" s="7"/>
      <c r="H144" s="7"/>
      <c r="I144" s="23" t="n">
        <f aca="false">IF($F144=1, 0, (MAX($H144,$G144,$D144,$C144)-$C144)/($F144-1))</f>
        <v>1</v>
      </c>
      <c r="J144" s="13"/>
    </row>
    <row r="145" customFormat="false" ht="12.8" hidden="false" customHeight="true" outlineLevel="0" collapsed="false">
      <c r="A145" s="15" t="s">
        <v>160</v>
      </c>
      <c r="B145" s="36" t="s">
        <v>28</v>
      </c>
      <c r="C145" s="7" t="n">
        <v>9</v>
      </c>
      <c r="D145" s="7" t="n">
        <v>10</v>
      </c>
      <c r="E145" s="7"/>
      <c r="F145" s="7" t="n">
        <v>2</v>
      </c>
      <c r="G145" s="7"/>
      <c r="H145" s="7"/>
      <c r="I145" s="23" t="n">
        <f aca="false">IF($F145=1, 0, (MAX($H145,$G145,$D145,$C145)-$C145)/($F145-1))</f>
        <v>1</v>
      </c>
      <c r="J145" s="13"/>
    </row>
    <row r="146" customFormat="false" ht="12.8" hidden="false" customHeight="true" outlineLevel="0" collapsed="false">
      <c r="A146" s="5" t="s">
        <v>161</v>
      </c>
      <c r="B146" s="36" t="s">
        <v>28</v>
      </c>
      <c r="C146" s="7" t="n">
        <v>5</v>
      </c>
      <c r="D146" s="7" t="n">
        <v>9</v>
      </c>
      <c r="E146" s="7"/>
      <c r="F146" s="7" t="n">
        <v>3</v>
      </c>
      <c r="G146" s="7" t="n">
        <v>9</v>
      </c>
      <c r="H146" s="7"/>
      <c r="I146" s="23" t="n">
        <f aca="false">IF($F146=1, 0, (MAX($H146,$G146,$D146,$C146)-$C146)/($F146-1))</f>
        <v>2</v>
      </c>
      <c r="J146" s="13"/>
    </row>
    <row r="147" customFormat="false" ht="12.8" hidden="false" customHeight="true" outlineLevel="0" collapsed="false">
      <c r="A147" s="15" t="s">
        <v>162</v>
      </c>
      <c r="B147" s="36" t="s">
        <v>28</v>
      </c>
      <c r="C147" s="7" t="n">
        <v>8</v>
      </c>
      <c r="D147" s="7" t="n">
        <v>9</v>
      </c>
      <c r="E147" s="7"/>
      <c r="F147" s="7" t="n">
        <v>3</v>
      </c>
      <c r="G147" s="7" t="n">
        <v>10</v>
      </c>
      <c r="H147" s="7"/>
      <c r="I147" s="23" t="n">
        <f aca="false">IF($F147=1, 0, (MAX($H147,$G147,$D147,$C147)-$C147)/($F147-1))</f>
        <v>1</v>
      </c>
      <c r="J147" s="13"/>
    </row>
    <row r="148" customFormat="false" ht="12.8" hidden="false" customHeight="true" outlineLevel="0" collapsed="false">
      <c r="A148" s="15" t="s">
        <v>163</v>
      </c>
      <c r="B148" s="35" t="s">
        <v>14</v>
      </c>
      <c r="C148" s="7" t="n">
        <v>6</v>
      </c>
      <c r="D148" s="7" t="n">
        <v>10</v>
      </c>
      <c r="E148" s="7"/>
      <c r="F148" s="7" t="n">
        <v>2</v>
      </c>
      <c r="G148" s="7"/>
      <c r="H148" s="7"/>
      <c r="I148" s="7"/>
      <c r="J148" s="23" t="n">
        <f aca="false">IF($F148=1, 0, (MAX($H148,$G148,$D148,$C148)-$C148)/($F148-1))</f>
        <v>4</v>
      </c>
    </row>
    <row r="149" customFormat="false" ht="12.8" hidden="false" customHeight="true" outlineLevel="0" collapsed="false">
      <c r="A149" s="5" t="s">
        <v>164</v>
      </c>
      <c r="B149" s="35" t="s">
        <v>14</v>
      </c>
      <c r="C149" s="7" t="n">
        <f aca="false">2*10/3</f>
        <v>6.66666666666667</v>
      </c>
      <c r="D149" s="7" t="n">
        <v>10</v>
      </c>
      <c r="E149" s="7"/>
      <c r="F149" s="7" t="n">
        <v>2</v>
      </c>
      <c r="G149" s="7"/>
      <c r="H149" s="7"/>
      <c r="I149" s="7"/>
      <c r="J149" s="23" t="n">
        <f aca="false">IF($F149=1, 0, (MAX($H149,$G149,$D149,$C149)-$C149)/($F149-1))</f>
        <v>3.33333333333333</v>
      </c>
    </row>
    <row r="150" customFormat="false" ht="12.8" hidden="false" customHeight="true" outlineLevel="0" collapsed="false">
      <c r="A150" s="5" t="s">
        <v>165</v>
      </c>
      <c r="B150" s="35" t="s">
        <v>28</v>
      </c>
      <c r="C150" s="7" t="n">
        <f aca="false">2*10/3</f>
        <v>6.66666666666667</v>
      </c>
      <c r="D150" s="7" t="n">
        <v>10</v>
      </c>
      <c r="E150" s="7"/>
      <c r="F150" s="7" t="n">
        <v>2</v>
      </c>
      <c r="G150" s="7"/>
      <c r="H150" s="7"/>
      <c r="I150" s="23" t="n">
        <f aca="false">IF($F150=1, 0, (MAX($H150,$G150,$D150,$C150)-$C150)/($F150-1))</f>
        <v>3.33333333333333</v>
      </c>
      <c r="J150" s="13"/>
    </row>
    <row r="151" customFormat="false" ht="12.8" hidden="false" customHeight="true" outlineLevel="0" collapsed="false">
      <c r="A151" s="5" t="s">
        <v>166</v>
      </c>
      <c r="B151" s="35" t="s">
        <v>14</v>
      </c>
      <c r="C151" s="7" t="n">
        <f aca="false">2*10/3</f>
        <v>6.66666666666667</v>
      </c>
      <c r="D151" s="7" t="n">
        <v>10</v>
      </c>
      <c r="E151" s="7"/>
      <c r="F151" s="7" t="n">
        <v>2</v>
      </c>
      <c r="G151" s="7"/>
      <c r="H151" s="7"/>
      <c r="I151" s="7"/>
      <c r="J151" s="23" t="n">
        <f aca="false">IF($F151=1, 0, (MAX($H151,$G151,$D151,$C151)-$C151)/($F151-1))</f>
        <v>3.33333333333333</v>
      </c>
    </row>
    <row r="152" customFormat="false" ht="12.8" hidden="false" customHeight="true" outlineLevel="0" collapsed="false">
      <c r="A152" s="15" t="s">
        <v>167</v>
      </c>
      <c r="B152" s="36" t="s">
        <v>28</v>
      </c>
      <c r="C152" s="7" t="n">
        <f aca="false">2*10/3</f>
        <v>6.66666666666667</v>
      </c>
      <c r="D152" s="7" t="n">
        <v>10</v>
      </c>
      <c r="E152" s="7"/>
      <c r="F152" s="7" t="n">
        <v>2</v>
      </c>
      <c r="G152" s="7"/>
      <c r="H152" s="7"/>
      <c r="I152" s="23" t="n">
        <f aca="false">IF($F152=1, 0, (MAX($H152,$G152,$D152,$C152)-$C152)/($F152-1))</f>
        <v>3.33333333333333</v>
      </c>
      <c r="J152" s="13"/>
    </row>
    <row r="153" customFormat="false" ht="12.8" hidden="false" customHeight="true" outlineLevel="0" collapsed="false">
      <c r="A153" s="15" t="s">
        <v>168</v>
      </c>
      <c r="B153" s="15" t="s">
        <v>28</v>
      </c>
      <c r="C153" s="7" t="n">
        <v>8.75</v>
      </c>
      <c r="D153" s="7" t="n">
        <v>10</v>
      </c>
      <c r="E153" s="7"/>
      <c r="F153" s="7" t="n">
        <v>2</v>
      </c>
      <c r="G153" s="7"/>
      <c r="H153" s="7"/>
      <c r="J153" s="23" t="n">
        <f aca="false">IF($F153=1, 0, (MAX($H153,$G153,$D153,$C153)-$C153)/($F153-1))</f>
        <v>1.25</v>
      </c>
    </row>
    <row r="154" customFormat="false" ht="12.8" hidden="false" customHeight="true" outlineLevel="0" collapsed="false">
      <c r="A154" s="5" t="s">
        <v>169</v>
      </c>
      <c r="B154" s="5" t="s">
        <v>14</v>
      </c>
      <c r="C154" s="7" t="n">
        <v>7.59</v>
      </c>
      <c r="D154" s="7" t="n">
        <v>8.75</v>
      </c>
      <c r="E154" s="7"/>
      <c r="F154" s="7" t="n">
        <v>3</v>
      </c>
      <c r="G154" s="7" t="n">
        <v>10</v>
      </c>
      <c r="H154" s="7"/>
      <c r="I154" s="23" t="n">
        <f aca="false">IF($F154=1, 0, (MAX($H154,$G154,$D154,$C154)-$C154)/($F154-1))</f>
        <v>1.205</v>
      </c>
      <c r="J154" s="7"/>
    </row>
    <row r="155" customFormat="false" ht="12.8" hidden="false" customHeight="true" outlineLevel="0" collapsed="false">
      <c r="A155" s="15" t="s">
        <v>170</v>
      </c>
      <c r="B155" s="5" t="s">
        <v>28</v>
      </c>
      <c r="C155" s="7" t="n">
        <v>5</v>
      </c>
      <c r="D155" s="7" t="n">
        <v>8.75</v>
      </c>
      <c r="E155" s="7"/>
      <c r="F155" s="7" t="n">
        <v>3</v>
      </c>
      <c r="G155" s="7" t="n">
        <v>8.75</v>
      </c>
      <c r="H155" s="7"/>
      <c r="I155" s="23" t="n">
        <f aca="false">IF($F155=1, 0, (MAX($H155,$G155,$D155,$C155)-$C155)/($F155-1))</f>
        <v>1.875</v>
      </c>
      <c r="J155" s="7"/>
    </row>
    <row r="156" customFormat="false" ht="12.8" hidden="false" customHeight="true" outlineLevel="0" collapsed="false">
      <c r="A156" s="15" t="s">
        <v>171</v>
      </c>
      <c r="B156" s="5" t="s">
        <v>14</v>
      </c>
      <c r="C156" s="7" t="n">
        <v>7.5</v>
      </c>
      <c r="D156" s="7" t="n">
        <v>8.75</v>
      </c>
      <c r="E156" s="7"/>
      <c r="F156" s="7" t="n">
        <v>3</v>
      </c>
      <c r="G156" s="7" t="n">
        <v>8.75</v>
      </c>
      <c r="H156" s="7"/>
      <c r="J156" s="23" t="n">
        <f aca="false">IF($F156=1, 0, (MAX($H156,$G156,$D156,$C156)-$C156)/($F156-1))</f>
        <v>0.625</v>
      </c>
    </row>
    <row r="157" customFormat="false" ht="12.8" hidden="false" customHeight="true" outlineLevel="0" collapsed="false">
      <c r="A157" s="5" t="s">
        <v>172</v>
      </c>
      <c r="B157" s="15" t="s">
        <v>28</v>
      </c>
      <c r="C157" s="7" t="n">
        <v>8.75</v>
      </c>
      <c r="D157" s="7" t="n">
        <v>10</v>
      </c>
      <c r="E157" s="7"/>
      <c r="F157" s="7" t="n">
        <v>2</v>
      </c>
      <c r="G157" s="7"/>
      <c r="H157" s="7"/>
      <c r="I157" s="23" t="n">
        <f aca="false">IF($F157=1, 0, (MAX($H157,$G157,$D157,$C157)-$C157)/($F157-1))</f>
        <v>1.25</v>
      </c>
      <c r="J157" s="7"/>
    </row>
    <row r="158" customFormat="false" ht="12.8" hidden="false" customHeight="true" outlineLevel="0" collapsed="false">
      <c r="A158" s="5" t="s">
        <v>173</v>
      </c>
      <c r="B158" s="15" t="s">
        <v>28</v>
      </c>
      <c r="C158" s="7" t="n">
        <v>8.75</v>
      </c>
      <c r="D158" s="7" t="n">
        <v>8.75</v>
      </c>
      <c r="E158" s="7"/>
      <c r="F158" s="7" t="n">
        <v>2</v>
      </c>
      <c r="G158" s="7"/>
      <c r="H158" s="7"/>
      <c r="I158" s="23" t="n">
        <f aca="false">IF($F158=1, 0, (MAX($H158,$G158,$D158,$C158)-$C158)/($F158-1))</f>
        <v>0</v>
      </c>
      <c r="J158" s="7"/>
    </row>
    <row r="159" customFormat="false" ht="12.8" hidden="false" customHeight="true" outlineLevel="0" collapsed="false">
      <c r="A159" s="15" t="s">
        <v>174</v>
      </c>
      <c r="B159" s="5" t="s">
        <v>14</v>
      </c>
      <c r="C159" s="7" t="n">
        <v>8.75</v>
      </c>
      <c r="D159" s="7" t="n">
        <v>10</v>
      </c>
      <c r="E159" s="7"/>
      <c r="F159" s="7" t="n">
        <v>2</v>
      </c>
      <c r="G159" s="7"/>
      <c r="H159" s="7"/>
      <c r="J159" s="23" t="n">
        <f aca="false">IF($F159=1, 0, (MAX($H159,$G159,$D159,$C159)-$C159)/($F159-1))</f>
        <v>1.25</v>
      </c>
    </row>
    <row r="160" customFormat="false" ht="12.8" hidden="false" customHeight="true" outlineLevel="0" collapsed="false">
      <c r="A160" s="15" t="s">
        <v>175</v>
      </c>
      <c r="B160" s="15" t="s">
        <v>28</v>
      </c>
      <c r="C160" s="7" t="n">
        <v>8.75</v>
      </c>
      <c r="D160" s="7" t="n">
        <v>10</v>
      </c>
      <c r="E160" s="7"/>
      <c r="F160" s="7" t="n">
        <v>2</v>
      </c>
      <c r="G160" s="7"/>
      <c r="H160" s="7"/>
      <c r="I160" s="23" t="n">
        <f aca="false">IF($F160=1, 0, (MAX($H160,$G160,$D160,$C160)-$C160)/($F160-1))</f>
        <v>1.25</v>
      </c>
      <c r="J160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2025-10-17T13:52:38Z</dcterms:created>
  <dc:creator/>
  <dc:description/>
  <dc:language>pt-BR</dc:language>
  <cp:lastModifiedBy/>
  <dcterms:modified xsi:type="dcterms:W3CDTF">2026-01-12T15:33:50Z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