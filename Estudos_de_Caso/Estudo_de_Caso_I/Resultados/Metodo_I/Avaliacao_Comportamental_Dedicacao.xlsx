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<sst xmlns="http://schemas.openxmlformats.org/spreadsheetml/2006/main" count="197" uniqueCount="22">
  <si>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</si>
  <si>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</si>
  <si>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</si>
  <si>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</si>
  <si>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</si>
  <si>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</si>
  <si>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</si>
  <si>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</si>
  <si>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</si>
  <si>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NEB</t>
  </si>
  <si>
    <t xml:space="preserve">Ganho Normalizado EB</t>
  </si>
  <si>
    <t xml:space="preserve">média</t>
  </si>
  <si>
    <t xml:space="preserve">mediana</t>
  </si>
  <si>
    <t xml:space="preserve">desvio padrão</t>
  </si>
  <si>
    <t xml:space="preserve">controle</t>
  </si>
  <si>
    <t xml:space="preserve">R</t>
  </si>
  <si>
    <t xml:space="preserve">MB</t>
  </si>
  <si>
    <t xml:space="preserve">intervenção</t>
  </si>
  <si>
    <t xml:space="preserve">B</t>
  </si>
  <si>
    <t xml:space="preserve">I</t>
  </si>
  <si>
    <t xml:space="preserve">intervencao</t>
  </si>
  <si>
    <t xml:space="preserve">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</si>
</sst>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0"/>
    <numFmt numFmtId="167" formatCode="0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0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4" t="s">
        <v>14</v>
      </c>
      <c r="B2" s="4" t="s">
        <v>15</v>
      </c>
      <c r="C2" s="5" t="n">
        <v>3.45</v>
      </c>
      <c r="D2" s="4" t="s">
        <v>16</v>
      </c>
      <c r="E2" s="4" t="n">
        <v>8.7</v>
      </c>
      <c r="F2" s="4" t="s">
        <v>16</v>
      </c>
      <c r="G2" s="6" t="n">
        <v>9.143</v>
      </c>
      <c r="H2" s="7"/>
      <c r="I2" s="7" t="n">
        <f aca="false">E2-C2</f>
        <v>5.25</v>
      </c>
      <c r="J2" s="7" t="n">
        <f aca="false">(E2-C2)/(10-C2)</f>
        <v>0.801526717557252</v>
      </c>
      <c r="K2" s="7"/>
      <c r="L2" s="1" t="s">
        <v>17</v>
      </c>
      <c r="M2" s="8" t="n">
        <f aca="false">AVERAGE(K6:K47)</f>
        <v>0.738558001923612</v>
      </c>
      <c r="N2" s="8" t="n">
        <f aca="false">MEDIAN(K6:K47)</f>
        <v>0.801526717557252</v>
      </c>
      <c r="O2" s="8" t="n">
        <f aca="false">STDEV(K6:K47)</f>
        <v>0.148130642409155</v>
      </c>
    </row>
    <row r="3" customFormat="false" ht="12.8" hidden="false" customHeight="false" outlineLevel="0" collapsed="false">
      <c r="A3" s="4" t="s">
        <v>14</v>
      </c>
      <c r="B3" s="4" t="s">
        <v>15</v>
      </c>
      <c r="C3" s="5" t="n">
        <v>3.45</v>
      </c>
      <c r="D3" s="4" t="s">
        <v>16</v>
      </c>
      <c r="E3" s="4" t="n">
        <v>8.7</v>
      </c>
      <c r="F3" s="4" t="s">
        <v>16</v>
      </c>
      <c r="G3" s="6" t="n">
        <v>9.429</v>
      </c>
      <c r="H3" s="7"/>
      <c r="I3" s="7" t="n">
        <f aca="false">E3-C3</f>
        <v>5.25</v>
      </c>
      <c r="J3" s="7" t="n">
        <f aca="false">(E3-C3)/(10-C3)</f>
        <v>0.801526717557252</v>
      </c>
      <c r="K3" s="7"/>
      <c r="M3" s="8"/>
      <c r="N3" s="8"/>
    </row>
    <row r="4" customFormat="false" ht="12.8" hidden="false" customHeight="false" outlineLevel="0" collapsed="false">
      <c r="A4" s="4" t="s">
        <v>14</v>
      </c>
      <c r="B4" s="4" t="s">
        <v>18</v>
      </c>
      <c r="C4" s="5" t="n">
        <v>6.45</v>
      </c>
      <c r="D4" s="4" t="s">
        <v>16</v>
      </c>
      <c r="E4" s="4" t="n">
        <v>8.7</v>
      </c>
      <c r="F4" s="4" t="s">
        <v>16</v>
      </c>
      <c r="G4" s="6" t="n">
        <v>8.857</v>
      </c>
      <c r="H4" s="7"/>
      <c r="I4" s="7" t="n">
        <f aca="false">E4-C4</f>
        <v>2.25</v>
      </c>
      <c r="J4" s="7" t="n">
        <f aca="false">(E4-C4)/(10-C4)</f>
        <v>0.633802816901408</v>
      </c>
      <c r="K4" s="7"/>
      <c r="M4" s="8"/>
      <c r="N4" s="8"/>
    </row>
    <row r="5" customFormat="false" ht="12.8" hidden="false" customHeight="false" outlineLevel="0" collapsed="false">
      <c r="A5" s="4" t="s">
        <v>14</v>
      </c>
      <c r="B5" s="4" t="s">
        <v>19</v>
      </c>
      <c r="C5" s="5" t="n">
        <v>0.95</v>
      </c>
      <c r="D5" s="4" t="s">
        <v>18</v>
      </c>
      <c r="E5" s="4" t="n">
        <v>6.45</v>
      </c>
      <c r="F5" s="4" t="s">
        <v>16</v>
      </c>
      <c r="G5" s="6" t="n">
        <v>9</v>
      </c>
      <c r="H5" s="9"/>
      <c r="I5" s="7" t="n">
        <f aca="false">E5-C5</f>
        <v>5.5</v>
      </c>
      <c r="J5" s="7" t="n">
        <f aca="false">(E5-C5)/(10-C5)</f>
        <v>0.607734806629834</v>
      </c>
      <c r="K5" s="7"/>
      <c r="L5" s="1" t="s">
        <v>14</v>
      </c>
      <c r="M5" s="8" t="n">
        <f aca="false">AVERAGE(J2:J47)</f>
        <v>0.515360274793259</v>
      </c>
      <c r="N5" s="8" t="n">
        <f aca="false">MEDIAN(J2:J47)</f>
        <v>0.607734806629834</v>
      </c>
      <c r="O5" s="8" t="n">
        <f aca="false">STDEV(J2:J47)</f>
        <v>0.291765208062147</v>
      </c>
    </row>
    <row r="6" customFormat="false" ht="12.8" hidden="false" customHeight="false" outlineLevel="0" collapsed="false">
      <c r="A6" s="10" t="s">
        <v>20</v>
      </c>
      <c r="B6" s="2" t="s">
        <v>15</v>
      </c>
      <c r="C6" s="11" t="n">
        <v>3.45</v>
      </c>
      <c r="D6" s="10" t="s">
        <v>16</v>
      </c>
      <c r="E6" s="10" t="n">
        <v>8.7</v>
      </c>
      <c r="F6" s="10"/>
      <c r="G6" s="12"/>
      <c r="H6" s="13" t="n">
        <f aca="false">E6-C6</f>
        <v>5.25</v>
      </c>
      <c r="I6" s="13"/>
      <c r="J6" s="13"/>
      <c r="K6" s="13" t="n">
        <f aca="false">(E6-C6)/(10-C6)</f>
        <v>0.801526717557252</v>
      </c>
    </row>
    <row r="7" customFormat="false" ht="12.8" hidden="false" customHeight="false" outlineLevel="0" collapsed="false">
      <c r="A7" s="10" t="s">
        <v>20</v>
      </c>
      <c r="B7" s="2" t="s">
        <v>15</v>
      </c>
      <c r="C7" s="11" t="n">
        <v>3.45</v>
      </c>
      <c r="D7" s="2" t="s">
        <v>16</v>
      </c>
      <c r="E7" s="2" t="n">
        <v>8.7</v>
      </c>
      <c r="F7" s="2" t="s">
        <v>16</v>
      </c>
      <c r="G7" s="14" t="n">
        <v>8.857</v>
      </c>
      <c r="H7" s="13" t="n">
        <f aca="false">E7-C7</f>
        <v>5.25</v>
      </c>
      <c r="I7" s="13"/>
      <c r="J7" s="13"/>
      <c r="K7" s="13" t="n">
        <f aca="false">(E7-C7)/(10-C7)</f>
        <v>0.801526717557252</v>
      </c>
    </row>
    <row r="8" customFormat="false" ht="12.8" hidden="false" customHeight="false" outlineLevel="0" collapsed="false">
      <c r="A8" s="10" t="s">
        <v>20</v>
      </c>
      <c r="B8" s="2" t="s">
        <v>18</v>
      </c>
      <c r="C8" s="11" t="n">
        <v>6.45</v>
      </c>
      <c r="D8" s="2" t="s">
        <v>16</v>
      </c>
      <c r="E8" s="2" t="n">
        <v>8.7</v>
      </c>
      <c r="F8" s="2" t="s">
        <v>16</v>
      </c>
      <c r="G8" s="14" t="n">
        <v>9.286</v>
      </c>
      <c r="H8" s="13" t="n">
        <f aca="false">E8-C8</f>
        <v>2.25</v>
      </c>
      <c r="I8" s="13"/>
      <c r="J8" s="13"/>
      <c r="K8" s="13" t="n">
        <f aca="false">(E8-C8)/(10-C8)</f>
        <v>0.633802816901408</v>
      </c>
    </row>
    <row r="9" customFormat="false" ht="12.8" hidden="false" customHeight="false" outlineLevel="0" collapsed="false">
      <c r="A9" s="10" t="s">
        <v>20</v>
      </c>
      <c r="B9" s="2" t="s">
        <v>15</v>
      </c>
      <c r="C9" s="11" t="n">
        <v>3.45</v>
      </c>
      <c r="D9" s="2" t="s">
        <v>18</v>
      </c>
      <c r="E9" s="2" t="n">
        <v>6.45</v>
      </c>
      <c r="F9" s="2" t="s">
        <v>16</v>
      </c>
      <c r="G9" s="14" t="n">
        <v>9.429</v>
      </c>
      <c r="H9" s="13" t="n">
        <f aca="false">E9-C9</f>
        <v>3</v>
      </c>
      <c r="I9" s="13"/>
      <c r="J9" s="13"/>
      <c r="K9" s="13" t="n">
        <f aca="false">(E9-C9)/(10-C9)</f>
        <v>0.458015267175573</v>
      </c>
    </row>
    <row r="10" customFormat="false" ht="12.8" hidden="false" customHeight="false" outlineLevel="0" collapsed="false">
      <c r="A10" s="10" t="s">
        <v>20</v>
      </c>
      <c r="B10" s="2" t="s">
        <v>15</v>
      </c>
      <c r="C10" s="11" t="n">
        <v>3.45</v>
      </c>
      <c r="D10" s="2" t="s">
        <v>16</v>
      </c>
      <c r="E10" s="2" t="n">
        <v>8.7</v>
      </c>
      <c r="F10" s="2" t="s">
        <v>16</v>
      </c>
      <c r="G10" s="14" t="n">
        <v>9.143</v>
      </c>
      <c r="H10" s="13" t="n">
        <f aca="false">E10-C10</f>
        <v>5.25</v>
      </c>
      <c r="I10" s="13"/>
      <c r="J10" s="13"/>
      <c r="K10" s="13" t="n">
        <f aca="false">(E10-C10)/(10-C10)</f>
        <v>0.801526717557252</v>
      </c>
    </row>
    <row r="11" customFormat="false" ht="12.8" hidden="false" customHeight="false" outlineLevel="0" collapsed="false">
      <c r="A11" s="10" t="s">
        <v>20</v>
      </c>
      <c r="B11" s="2" t="s">
        <v>15</v>
      </c>
      <c r="C11" s="11" t="n">
        <v>3.45</v>
      </c>
      <c r="D11" s="2" t="s">
        <v>16</v>
      </c>
      <c r="E11" s="2" t="n">
        <v>8.7</v>
      </c>
      <c r="F11" s="2" t="s">
        <v>16</v>
      </c>
      <c r="G11" s="14" t="n">
        <v>8.714</v>
      </c>
      <c r="H11" s="13" t="n">
        <f aca="false">E11-C11</f>
        <v>5.25</v>
      </c>
      <c r="I11" s="13"/>
      <c r="J11" s="13"/>
      <c r="K11" s="13" t="n">
        <f aca="false">(E11-C11)/(10-C11)</f>
        <v>0.801526717557252</v>
      </c>
    </row>
    <row r="12" customFormat="false" ht="12.8" hidden="false" customHeight="false" outlineLevel="0" collapsed="false">
      <c r="A12" s="10" t="s">
        <v>20</v>
      </c>
      <c r="B12" s="2" t="s">
        <v>15</v>
      </c>
      <c r="C12" s="11" t="n">
        <v>3.45</v>
      </c>
      <c r="D12" s="2" t="s">
        <v>16</v>
      </c>
      <c r="E12" s="2" t="n">
        <v>8.7</v>
      </c>
      <c r="F12" s="2" t="s">
        <v>16</v>
      </c>
      <c r="G12" s="14" t="n">
        <v>9.429</v>
      </c>
      <c r="H12" s="13" t="n">
        <f aca="false">E12-C12</f>
        <v>5.25</v>
      </c>
      <c r="I12" s="13"/>
      <c r="J12" s="13"/>
      <c r="K12" s="13" t="n">
        <f aca="false">(E12-C12)/(10-C12)</f>
        <v>0.801526717557252</v>
      </c>
    </row>
    <row r="13" customFormat="false" ht="12.8" hidden="false" customHeight="false" outlineLevel="0" collapsed="false">
      <c r="A13" s="10" t="s">
        <v>20</v>
      </c>
      <c r="B13" s="10" t="s">
        <v>15</v>
      </c>
      <c r="C13" s="15" t="n">
        <v>3.45</v>
      </c>
      <c r="D13" s="10" t="s">
        <v>16</v>
      </c>
      <c r="E13" s="10" t="n">
        <v>8.7</v>
      </c>
      <c r="F13" s="10" t="s">
        <v>18</v>
      </c>
      <c r="G13" s="12" t="n">
        <v>7.429</v>
      </c>
      <c r="H13" s="16" t="n">
        <f aca="false">E13-C13</f>
        <v>5.25</v>
      </c>
      <c r="I13" s="16"/>
      <c r="J13" s="16"/>
      <c r="K13" s="16" t="n">
        <f aca="false">(E13-C13)/(10-C13)</f>
        <v>0.801526717557252</v>
      </c>
    </row>
    <row r="14" customFormat="false" ht="12.8" hidden="false" customHeight="false" outlineLevel="0" collapsed="false">
      <c r="A14" s="10" t="s">
        <v>20</v>
      </c>
      <c r="B14" s="10" t="s">
        <v>18</v>
      </c>
      <c r="C14" s="15" t="n">
        <v>6.45</v>
      </c>
      <c r="D14" s="10" t="s">
        <v>21</v>
      </c>
      <c r="E14" s="10" t="n">
        <v>9.75</v>
      </c>
      <c r="F14" s="10" t="s">
        <v>16</v>
      </c>
      <c r="G14" s="12" t="n">
        <v>9.286</v>
      </c>
      <c r="H14" s="16" t="n">
        <f aca="false">E14-C14</f>
        <v>3.3</v>
      </c>
      <c r="I14" s="16"/>
      <c r="J14" s="16"/>
      <c r="K14" s="16" t="n">
        <f aca="false">(E14-C14)/(10-C14)</f>
        <v>0.929577464788732</v>
      </c>
    </row>
    <row r="15" customFormat="false" ht="12.8" hidden="false" customHeight="false" outlineLevel="0" collapsed="false">
      <c r="A15" s="10" t="s">
        <v>20</v>
      </c>
      <c r="B15" s="2" t="s">
        <v>15</v>
      </c>
      <c r="C15" s="11" t="n">
        <v>3.45</v>
      </c>
      <c r="D15" s="2" t="s">
        <v>16</v>
      </c>
      <c r="E15" s="2" t="n">
        <v>8.7</v>
      </c>
      <c r="F15" s="2" t="s">
        <v>16</v>
      </c>
      <c r="G15" s="14" t="n">
        <v>9.429</v>
      </c>
      <c r="H15" s="13" t="n">
        <f aca="false">E15-C15</f>
        <v>5.25</v>
      </c>
      <c r="I15" s="13"/>
      <c r="J15" s="13"/>
      <c r="K15" s="13" t="n">
        <f aca="false">(E15-C15)/(10-C15)</f>
        <v>0.801526717557252</v>
      </c>
    </row>
    <row r="16" customFormat="false" ht="12.8" hidden="false" customHeight="false" outlineLevel="0" collapsed="false">
      <c r="A16" s="10" t="s">
        <v>20</v>
      </c>
      <c r="B16" s="2" t="s">
        <v>15</v>
      </c>
      <c r="C16" s="11" t="n">
        <v>3.45</v>
      </c>
      <c r="D16" s="2" t="s">
        <v>16</v>
      </c>
      <c r="E16" s="2" t="n">
        <v>8.7</v>
      </c>
      <c r="F16" s="2" t="s">
        <v>16</v>
      </c>
      <c r="G16" s="14" t="n">
        <v>9</v>
      </c>
      <c r="H16" s="13" t="n">
        <f aca="false">E16-C16</f>
        <v>5.25</v>
      </c>
      <c r="I16" s="13"/>
      <c r="J16" s="13"/>
      <c r="K16" s="13" t="n">
        <f aca="false">(E16-C16)/(10-C16)</f>
        <v>0.801526717557252</v>
      </c>
    </row>
    <row r="17" customFormat="false" ht="12.8" hidden="false" customHeight="false" outlineLevel="0" collapsed="false">
      <c r="A17" s="10" t="s">
        <v>20</v>
      </c>
      <c r="B17" s="2" t="s">
        <v>19</v>
      </c>
      <c r="C17" s="11" t="n">
        <v>0.95</v>
      </c>
      <c r="D17" s="2" t="s">
        <v>16</v>
      </c>
      <c r="E17" s="2" t="n">
        <v>8.7</v>
      </c>
      <c r="F17" s="2" t="s">
        <v>16</v>
      </c>
      <c r="G17" s="14" t="n">
        <v>9</v>
      </c>
      <c r="H17" s="13" t="n">
        <f aca="false">E17-C17</f>
        <v>7.75</v>
      </c>
      <c r="I17" s="13"/>
      <c r="J17" s="13"/>
      <c r="K17" s="13" t="n">
        <f aca="false">(E17-C17)/(10-C17)</f>
        <v>0.856353591160221</v>
      </c>
    </row>
    <row r="18" customFormat="false" ht="12.8" hidden="false" customHeight="false" outlineLevel="0" collapsed="false">
      <c r="A18" s="10" t="s">
        <v>20</v>
      </c>
      <c r="B18" s="2" t="s">
        <v>15</v>
      </c>
      <c r="C18" s="11" t="n">
        <v>3.45</v>
      </c>
      <c r="D18" s="2" t="s">
        <v>16</v>
      </c>
      <c r="E18" s="2" t="n">
        <v>8.7</v>
      </c>
      <c r="F18" s="2" t="s">
        <v>16</v>
      </c>
      <c r="G18" s="14" t="n">
        <v>9.429</v>
      </c>
      <c r="H18" s="13" t="n">
        <f aca="false">E18-C18</f>
        <v>5.25</v>
      </c>
      <c r="I18" s="13"/>
      <c r="J18" s="13"/>
      <c r="K18" s="13" t="n">
        <f aca="false">(E18-C18)/(10-C18)</f>
        <v>0.801526717557252</v>
      </c>
    </row>
    <row r="19" customFormat="false" ht="12.8" hidden="false" customHeight="false" outlineLevel="0" collapsed="false">
      <c r="A19" s="10" t="s">
        <v>20</v>
      </c>
      <c r="B19" s="2" t="s">
        <v>15</v>
      </c>
      <c r="C19" s="11" t="n">
        <v>3.45</v>
      </c>
      <c r="D19" s="2" t="s">
        <v>16</v>
      </c>
      <c r="E19" s="2" t="n">
        <v>8.7</v>
      </c>
      <c r="F19" s="2" t="s">
        <v>16</v>
      </c>
      <c r="G19" s="14" t="n">
        <v>8.875</v>
      </c>
      <c r="H19" s="13" t="n">
        <f aca="false">E19-C19</f>
        <v>5.25</v>
      </c>
      <c r="I19" s="13"/>
      <c r="J19" s="13"/>
      <c r="K19" s="13" t="n">
        <f aca="false">(E19-C19)/(10-C19)</f>
        <v>0.801526717557252</v>
      </c>
    </row>
    <row r="20" s="9" customFormat="true" ht="12.8" hidden="false" customHeight="false" outlineLevel="0" collapsed="false">
      <c r="A20" s="4" t="s">
        <v>14</v>
      </c>
      <c r="B20" s="4" t="s">
        <v>18</v>
      </c>
      <c r="C20" s="5" t="n">
        <v>6.45</v>
      </c>
      <c r="D20" s="4" t="s">
        <v>16</v>
      </c>
      <c r="E20" s="4" t="n">
        <v>8.7</v>
      </c>
      <c r="F20" s="4" t="s">
        <v>16</v>
      </c>
      <c r="G20" s="6" t="n">
        <v>9.286</v>
      </c>
      <c r="H20" s="7"/>
      <c r="I20" s="7" t="n">
        <f aca="false">E7-C7</f>
        <v>5.25</v>
      </c>
      <c r="J20" s="7" t="n">
        <f aca="false">(E20-C20)/(10-C20)</f>
        <v>0.633802816901408</v>
      </c>
      <c r="K20" s="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0"/>
    </row>
    <row r="21" s="9" customFormat="true" ht="12.8" hidden="false" customHeight="false" outlineLevel="0" collapsed="false">
      <c r="A21" s="4" t="s">
        <v>14</v>
      </c>
      <c r="B21" s="4" t="s">
        <v>15</v>
      </c>
      <c r="C21" s="5" t="n">
        <v>3.45</v>
      </c>
      <c r="D21" s="4" t="s">
        <v>15</v>
      </c>
      <c r="E21" s="4" t="n">
        <v>3.45</v>
      </c>
      <c r="F21" s="4"/>
      <c r="G21" s="6"/>
      <c r="H21" s="7"/>
      <c r="I21" s="7" t="n">
        <f aca="false">E21-C21</f>
        <v>0</v>
      </c>
      <c r="J21" s="7" t="n">
        <f aca="false">(E21-C21)/(10-C21)</f>
        <v>0</v>
      </c>
      <c r="K21" s="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0"/>
    </row>
    <row r="22" customFormat="false" ht="12.8" hidden="false" customHeight="true" outlineLevel="0" collapsed="false">
      <c r="A22" s="2" t="s">
        <v>20</v>
      </c>
      <c r="B22" s="2" t="s">
        <v>15</v>
      </c>
      <c r="C22" s="18" t="n">
        <v>3.45</v>
      </c>
      <c r="D22" s="2" t="s">
        <v>18</v>
      </c>
      <c r="E22" s="18" t="n">
        <v>6.45</v>
      </c>
      <c r="F22" s="2" t="s">
        <v>16</v>
      </c>
      <c r="G22" s="19" t="n">
        <v>8.375</v>
      </c>
      <c r="H22" s="13" t="n">
        <f aca="false">E22-C22</f>
        <v>3</v>
      </c>
      <c r="I22" s="13"/>
      <c r="J22" s="20"/>
      <c r="K22" s="13" t="n">
        <f aca="false">(E22-C22)/(10-C22)</f>
        <v>0.458015267175573</v>
      </c>
    </row>
    <row r="23" customFormat="false" ht="12.8" hidden="false" customHeight="true" outlineLevel="0" collapsed="false">
      <c r="A23" s="4" t="s">
        <v>14</v>
      </c>
      <c r="B23" s="4" t="s">
        <v>19</v>
      </c>
      <c r="C23" s="21" t="n">
        <v>0.95</v>
      </c>
      <c r="D23" s="4" t="s">
        <v>18</v>
      </c>
      <c r="E23" s="4" t="n">
        <v>6.45</v>
      </c>
      <c r="F23" s="4" t="s">
        <v>18</v>
      </c>
      <c r="G23" s="22" t="n">
        <v>7.25</v>
      </c>
      <c r="H23" s="7"/>
      <c r="I23" s="7" t="n">
        <f aca="false">E23-C23</f>
        <v>5.5</v>
      </c>
      <c r="J23" s="7" t="n">
        <f aca="false">(E23-C23)/(10-C23)</f>
        <v>0.607734806629834</v>
      </c>
      <c r="K23" s="23"/>
    </row>
    <row r="24" customFormat="false" ht="12.8" hidden="false" customHeight="true" outlineLevel="0" collapsed="false">
      <c r="A24" s="4" t="s">
        <v>14</v>
      </c>
      <c r="B24" s="4" t="s">
        <v>15</v>
      </c>
      <c r="C24" s="4" t="n">
        <v>3.45</v>
      </c>
      <c r="D24" s="4" t="s">
        <v>18</v>
      </c>
      <c r="E24" s="4" t="n">
        <v>6.45</v>
      </c>
      <c r="F24" s="4" t="s">
        <v>18</v>
      </c>
      <c r="G24" s="22" t="n">
        <v>7.375</v>
      </c>
      <c r="H24" s="7"/>
      <c r="I24" s="7" t="n">
        <f aca="false">E24-C24</f>
        <v>3</v>
      </c>
      <c r="J24" s="7" t="n">
        <f aca="false">(E24-C24)/(10-C24)</f>
        <v>0.458015267175573</v>
      </c>
      <c r="K24" s="23"/>
    </row>
    <row r="25" customFormat="false" ht="12.8" hidden="false" customHeight="true" outlineLevel="0" collapsed="false">
      <c r="A25" s="2" t="s">
        <v>20</v>
      </c>
      <c r="B25" s="2" t="s">
        <v>15</v>
      </c>
      <c r="C25" s="18" t="n">
        <v>3.45</v>
      </c>
      <c r="D25" s="2" t="s">
        <v>16</v>
      </c>
      <c r="E25" s="18" t="n">
        <v>8.7</v>
      </c>
      <c r="F25" s="2" t="s">
        <v>18</v>
      </c>
      <c r="G25" s="19" t="n">
        <v>7</v>
      </c>
      <c r="H25" s="13" t="n">
        <f aca="false">E25-C25</f>
        <v>5.25</v>
      </c>
      <c r="I25" s="13"/>
      <c r="J25" s="20"/>
      <c r="K25" s="13" t="n">
        <f aca="false">(E25-C25)/(10-C25)</f>
        <v>0.801526717557252</v>
      </c>
    </row>
    <row r="26" customFormat="false" ht="12.8" hidden="false" customHeight="true" outlineLevel="0" collapsed="false">
      <c r="A26" s="4" t="s">
        <v>14</v>
      </c>
      <c r="B26" s="4" t="s">
        <v>15</v>
      </c>
      <c r="C26" s="4" t="n">
        <v>3.45</v>
      </c>
      <c r="D26" s="4" t="s">
        <v>15</v>
      </c>
      <c r="E26" s="4" t="n">
        <v>3.45</v>
      </c>
      <c r="F26" s="4"/>
      <c r="G26" s="22"/>
      <c r="H26" s="7"/>
      <c r="I26" s="7" t="n">
        <f aca="false">E26-C26</f>
        <v>0</v>
      </c>
      <c r="J26" s="7" t="n">
        <f aca="false">(E26-C26)/(10-C26)</f>
        <v>0</v>
      </c>
      <c r="K26" s="23"/>
    </row>
    <row r="27" customFormat="false" ht="12.8" hidden="false" customHeight="true" outlineLevel="0" collapsed="false">
      <c r="A27" s="2" t="s">
        <v>20</v>
      </c>
      <c r="B27" s="2" t="s">
        <v>15</v>
      </c>
      <c r="C27" s="18" t="n">
        <v>3.45</v>
      </c>
      <c r="D27" s="2" t="s">
        <v>16</v>
      </c>
      <c r="E27" s="18" t="n">
        <v>8.7</v>
      </c>
      <c r="F27" s="2" t="s">
        <v>18</v>
      </c>
      <c r="G27" s="19" t="n">
        <v>7.375</v>
      </c>
      <c r="H27" s="13" t="n">
        <f aca="false">E27-C27</f>
        <v>5.25</v>
      </c>
      <c r="I27" s="13"/>
      <c r="J27" s="20"/>
      <c r="K27" s="13" t="n">
        <f aca="false">(E27-C27)/(10-C27)</f>
        <v>0.801526717557252</v>
      </c>
    </row>
    <row r="28" customFormat="false" ht="12.8" hidden="false" customHeight="true" outlineLevel="0" collapsed="false">
      <c r="A28" s="4" t="s">
        <v>14</v>
      </c>
      <c r="B28" s="4" t="s">
        <v>15</v>
      </c>
      <c r="C28" s="4" t="n">
        <v>3.45</v>
      </c>
      <c r="D28" s="4" t="s">
        <v>16</v>
      </c>
      <c r="E28" s="4" t="n">
        <v>8.7</v>
      </c>
      <c r="F28" s="4" t="s">
        <v>16</v>
      </c>
      <c r="G28" s="22" t="n">
        <v>8</v>
      </c>
      <c r="H28" s="7"/>
      <c r="I28" s="7" t="n">
        <f aca="false">E28-C28</f>
        <v>5.25</v>
      </c>
      <c r="J28" s="7" t="n">
        <f aca="false">(E28-C28)/(10-C28)</f>
        <v>0.801526717557252</v>
      </c>
      <c r="K28" s="23"/>
    </row>
    <row r="29" customFormat="false" ht="12.8" hidden="false" customHeight="true" outlineLevel="0" collapsed="false">
      <c r="A29" s="4" t="s">
        <v>14</v>
      </c>
      <c r="B29" s="4" t="s">
        <v>15</v>
      </c>
      <c r="C29" s="4" t="n">
        <v>3.45</v>
      </c>
      <c r="D29" s="4" t="s">
        <v>16</v>
      </c>
      <c r="E29" s="4" t="n">
        <v>8.7</v>
      </c>
      <c r="F29" s="4" t="s">
        <v>16</v>
      </c>
      <c r="G29" s="22" t="n">
        <v>8.625</v>
      </c>
      <c r="H29" s="7"/>
      <c r="I29" s="7" t="n">
        <f aca="false">E29-C29</f>
        <v>5.25</v>
      </c>
      <c r="J29" s="7" t="n">
        <f aca="false">(E29-C29)/(10-C29)</f>
        <v>0.801526717557252</v>
      </c>
      <c r="K29" s="23"/>
    </row>
    <row r="30" customFormat="false" ht="12.8" hidden="false" customHeight="true" outlineLevel="0" collapsed="false">
      <c r="A30" s="2" t="s">
        <v>20</v>
      </c>
      <c r="B30" s="2" t="s">
        <v>15</v>
      </c>
      <c r="C30" s="18" t="n">
        <v>3.45</v>
      </c>
      <c r="D30" s="2" t="s">
        <v>16</v>
      </c>
      <c r="E30" s="18" t="n">
        <v>8.7</v>
      </c>
      <c r="F30" s="2" t="s">
        <v>16</v>
      </c>
      <c r="G30" s="19" t="n">
        <v>8.125</v>
      </c>
      <c r="H30" s="13" t="n">
        <f aca="false">E30-C30</f>
        <v>5.25</v>
      </c>
      <c r="I30" s="13"/>
      <c r="J30" s="20"/>
      <c r="K30" s="13" t="n">
        <f aca="false">(E30-C30)/(10-C30)</f>
        <v>0.801526717557252</v>
      </c>
    </row>
    <row r="31" customFormat="false" ht="12.8" hidden="false" customHeight="true" outlineLevel="0" collapsed="false">
      <c r="A31" s="2" t="s">
        <v>20</v>
      </c>
      <c r="B31" s="2" t="s">
        <v>15</v>
      </c>
      <c r="C31" s="18" t="n">
        <v>3.45</v>
      </c>
      <c r="D31" s="2" t="s">
        <v>16</v>
      </c>
      <c r="E31" s="18" t="n">
        <v>8.7</v>
      </c>
      <c r="F31" s="2" t="s">
        <v>16</v>
      </c>
      <c r="G31" s="19" t="n">
        <v>9</v>
      </c>
      <c r="H31" s="13" t="n">
        <f aca="false">E31-C31</f>
        <v>5.25</v>
      </c>
      <c r="I31" s="13"/>
      <c r="J31" s="20"/>
      <c r="K31" s="13" t="n">
        <f aca="false">(E31-C31)/(10-C31)</f>
        <v>0.801526717557252</v>
      </c>
    </row>
    <row r="32" customFormat="false" ht="12.8" hidden="false" customHeight="true" outlineLevel="0" collapsed="false">
      <c r="A32" s="2" t="s">
        <v>20</v>
      </c>
      <c r="B32" s="2" t="s">
        <v>15</v>
      </c>
      <c r="C32" s="18" t="n">
        <v>3.45</v>
      </c>
      <c r="D32" s="2" t="s">
        <v>18</v>
      </c>
      <c r="E32" s="18" t="n">
        <v>6.45</v>
      </c>
      <c r="F32" s="2" t="s">
        <v>16</v>
      </c>
      <c r="G32" s="19" t="n">
        <v>8</v>
      </c>
      <c r="H32" s="13" t="n">
        <f aca="false">E32-C32</f>
        <v>3</v>
      </c>
      <c r="I32" s="13"/>
      <c r="J32" s="20"/>
      <c r="K32" s="13" t="n">
        <f aca="false">(E32-C32)/(10-C32)</f>
        <v>0.458015267175573</v>
      </c>
    </row>
    <row r="33" customFormat="false" ht="12.8" hidden="false" customHeight="true" outlineLevel="0" collapsed="false">
      <c r="A33" s="2" t="s">
        <v>20</v>
      </c>
      <c r="B33" s="2" t="s">
        <v>15</v>
      </c>
      <c r="C33" s="18" t="n">
        <v>3.45</v>
      </c>
      <c r="D33" s="2" t="s">
        <v>16</v>
      </c>
      <c r="E33" s="18" t="n">
        <v>8.7</v>
      </c>
      <c r="F33" s="2" t="s">
        <v>16</v>
      </c>
      <c r="G33" s="19" t="n">
        <v>8.125</v>
      </c>
      <c r="H33" s="13" t="n">
        <f aca="false">E33-C33</f>
        <v>5.25</v>
      </c>
      <c r="I33" s="13"/>
      <c r="J33" s="20"/>
      <c r="K33" s="13" t="n">
        <f aca="false">(E33-C33)/(10-C33)</f>
        <v>0.801526717557252</v>
      </c>
    </row>
    <row r="34" customFormat="false" ht="12.8" hidden="false" customHeight="true" outlineLevel="0" collapsed="false">
      <c r="A34" s="2" t="s">
        <v>20</v>
      </c>
      <c r="B34" s="2" t="s">
        <v>15</v>
      </c>
      <c r="C34" s="18" t="n">
        <v>3.45</v>
      </c>
      <c r="D34" s="2" t="s">
        <v>16</v>
      </c>
      <c r="E34" s="18" t="n">
        <v>8.7</v>
      </c>
      <c r="F34" s="2" t="s">
        <v>16</v>
      </c>
      <c r="G34" s="19" t="n">
        <v>8.75</v>
      </c>
      <c r="H34" s="13" t="n">
        <f aca="false">E34-C34</f>
        <v>5.25</v>
      </c>
      <c r="I34" s="13"/>
      <c r="J34" s="20"/>
      <c r="K34" s="13" t="n">
        <f aca="false">(E34-C34)/(10-C34)</f>
        <v>0.801526717557252</v>
      </c>
    </row>
    <row r="35" customFormat="false" ht="12.8" hidden="false" customHeight="true" outlineLevel="0" collapsed="false">
      <c r="A35" s="2" t="s">
        <v>20</v>
      </c>
      <c r="B35" s="2" t="s">
        <v>15</v>
      </c>
      <c r="C35" s="18" t="n">
        <v>3.45</v>
      </c>
      <c r="D35" s="2" t="s">
        <v>18</v>
      </c>
      <c r="E35" s="18" t="n">
        <v>6.45</v>
      </c>
      <c r="F35" s="2" t="s">
        <v>16</v>
      </c>
      <c r="G35" s="24" t="n">
        <v>8.5</v>
      </c>
      <c r="H35" s="13" t="n">
        <f aca="false">E35-C35</f>
        <v>3</v>
      </c>
      <c r="I35" s="13"/>
      <c r="J35" s="20"/>
      <c r="K35" s="13" t="n">
        <f aca="false">(E35-C35)/(10-C35)</f>
        <v>0.458015267175573</v>
      </c>
    </row>
    <row r="36" customFormat="false" ht="12.8" hidden="false" customHeight="true" outlineLevel="0" collapsed="false">
      <c r="A36" s="2" t="s">
        <v>20</v>
      </c>
      <c r="B36" s="2" t="s">
        <v>15</v>
      </c>
      <c r="C36" s="18" t="n">
        <v>3.45</v>
      </c>
      <c r="D36" s="2" t="s">
        <v>16</v>
      </c>
      <c r="E36" s="18" t="n">
        <v>8.7</v>
      </c>
      <c r="F36" s="2" t="s">
        <v>16</v>
      </c>
      <c r="G36" s="19" t="n">
        <v>8.125</v>
      </c>
      <c r="H36" s="13" t="n">
        <f aca="false">E36-C36</f>
        <v>5.25</v>
      </c>
      <c r="I36" s="13"/>
      <c r="J36" s="20"/>
      <c r="K36" s="13" t="n">
        <f aca="false">(E36-C36)/(10-C36)</f>
        <v>0.801526717557252</v>
      </c>
    </row>
    <row r="37" customFormat="false" ht="12.8" hidden="false" customHeight="true" outlineLevel="0" collapsed="false">
      <c r="A37" s="2" t="s">
        <v>20</v>
      </c>
      <c r="B37" s="2" t="s">
        <v>15</v>
      </c>
      <c r="C37" s="18" t="n">
        <v>3.45</v>
      </c>
      <c r="D37" s="2" t="s">
        <v>16</v>
      </c>
      <c r="E37" s="18" t="n">
        <v>8.7</v>
      </c>
      <c r="F37" s="2" t="s">
        <v>16</v>
      </c>
      <c r="G37" s="19" t="n">
        <v>8.5</v>
      </c>
      <c r="H37" s="13" t="n">
        <f aca="false">E37-C37</f>
        <v>5.25</v>
      </c>
      <c r="I37" s="13"/>
      <c r="J37" s="20"/>
      <c r="K37" s="13" t="n">
        <f aca="false">(E37-C37)/(10-C37)</f>
        <v>0.801526717557252</v>
      </c>
    </row>
    <row r="38" customFormat="false" ht="12.8" hidden="false" customHeight="true" outlineLevel="0" collapsed="false">
      <c r="A38" s="2" t="s">
        <v>20</v>
      </c>
      <c r="B38" s="2" t="s">
        <v>15</v>
      </c>
      <c r="C38" s="18" t="n">
        <v>3.45</v>
      </c>
      <c r="D38" s="2" t="s">
        <v>16</v>
      </c>
      <c r="E38" s="18" t="n">
        <v>8.7</v>
      </c>
      <c r="F38" s="2" t="s">
        <v>16</v>
      </c>
      <c r="G38" s="19" t="n">
        <v>8.375</v>
      </c>
      <c r="H38" s="13" t="n">
        <f aca="false">E38-C38</f>
        <v>5.25</v>
      </c>
      <c r="I38" s="13"/>
      <c r="J38" s="20"/>
      <c r="K38" s="13" t="n">
        <f aca="false">(E38-C38)/(10-C38)</f>
        <v>0.801526717557252</v>
      </c>
    </row>
    <row r="39" customFormat="false" ht="12.8" hidden="false" customHeight="true" outlineLevel="0" collapsed="false">
      <c r="A39" s="2" t="s">
        <v>20</v>
      </c>
      <c r="B39" s="2" t="s">
        <v>15</v>
      </c>
      <c r="C39" s="18" t="n">
        <v>3.45</v>
      </c>
      <c r="D39" s="2" t="s">
        <v>16</v>
      </c>
      <c r="E39" s="18" t="n">
        <v>8.7</v>
      </c>
      <c r="F39" s="2" t="s">
        <v>16</v>
      </c>
      <c r="G39" s="19" t="n">
        <v>9.125</v>
      </c>
      <c r="H39" s="13" t="n">
        <f aca="false">E39-C39</f>
        <v>5.25</v>
      </c>
      <c r="I39" s="13"/>
      <c r="J39" s="20"/>
      <c r="K39" s="13" t="n">
        <f aca="false">(E39-C39)/(10-C39)</f>
        <v>0.801526717557252</v>
      </c>
    </row>
    <row r="40" customFormat="false" ht="12.8" hidden="false" customHeight="true" outlineLevel="0" collapsed="false">
      <c r="A40" s="2" t="s">
        <v>20</v>
      </c>
      <c r="B40" s="2" t="s">
        <v>15</v>
      </c>
      <c r="C40" s="18" t="n">
        <v>3.45</v>
      </c>
      <c r="D40" s="2" t="s">
        <v>16</v>
      </c>
      <c r="E40" s="18" t="n">
        <v>8.7</v>
      </c>
      <c r="F40" s="2" t="s">
        <v>16</v>
      </c>
      <c r="G40" s="19" t="n">
        <v>8.5</v>
      </c>
      <c r="H40" s="13" t="n">
        <f aca="false">E40-C40</f>
        <v>5.25</v>
      </c>
      <c r="I40" s="13"/>
      <c r="J40" s="20"/>
      <c r="K40" s="13" t="n">
        <f aca="false">(E40-C40)/(10-C40)</f>
        <v>0.801526717557252</v>
      </c>
    </row>
    <row r="41" customFormat="false" ht="12.8" hidden="false" customHeight="true" outlineLevel="0" collapsed="false">
      <c r="A41" s="2" t="s">
        <v>20</v>
      </c>
      <c r="B41" s="2" t="s">
        <v>15</v>
      </c>
      <c r="C41" s="18" t="n">
        <v>3.45</v>
      </c>
      <c r="D41" s="2" t="s">
        <v>16</v>
      </c>
      <c r="E41" s="18" t="n">
        <v>8.7</v>
      </c>
      <c r="F41" s="2" t="s">
        <v>16</v>
      </c>
      <c r="G41" s="19" t="n">
        <v>8.605</v>
      </c>
      <c r="H41" s="13" t="n">
        <f aca="false">E41-C41</f>
        <v>5.25</v>
      </c>
      <c r="I41" s="13"/>
      <c r="J41" s="20"/>
      <c r="K41" s="13" t="n">
        <f aca="false">(E41-C41)/(10-C41)</f>
        <v>0.801526717557252</v>
      </c>
    </row>
    <row r="42" customFormat="false" ht="12.8" hidden="false" customHeight="true" outlineLevel="0" collapsed="false">
      <c r="A42" s="2" t="s">
        <v>20</v>
      </c>
      <c r="B42" s="2" t="s">
        <v>19</v>
      </c>
      <c r="C42" s="18" t="n">
        <v>0.95</v>
      </c>
      <c r="D42" s="2" t="s">
        <v>15</v>
      </c>
      <c r="E42" s="18" t="n">
        <v>3.45</v>
      </c>
      <c r="F42" s="2" t="s">
        <v>18</v>
      </c>
      <c r="G42" s="19" t="n">
        <v>7.75</v>
      </c>
      <c r="H42" s="13" t="n">
        <f aca="false">E42-C42</f>
        <v>2.5</v>
      </c>
      <c r="J42" s="20"/>
      <c r="K42" s="13" t="n">
        <f aca="false">(E42-C42)/(10-C42)</f>
        <v>0.276243093922652</v>
      </c>
    </row>
    <row r="43" customFormat="false" ht="12.8" hidden="false" customHeight="true" outlineLevel="0" collapsed="false">
      <c r="A43" s="2" t="s">
        <v>20</v>
      </c>
      <c r="B43" s="2" t="s">
        <v>19</v>
      </c>
      <c r="C43" s="18" t="n">
        <v>0.95</v>
      </c>
      <c r="D43" s="2" t="s">
        <v>18</v>
      </c>
      <c r="E43" s="18" t="n">
        <v>6.45</v>
      </c>
      <c r="F43" s="2" t="s">
        <v>18</v>
      </c>
      <c r="G43" s="25" t="n">
        <v>7.75</v>
      </c>
      <c r="H43" s="13" t="n">
        <f aca="false">E43-C43</f>
        <v>5.5</v>
      </c>
      <c r="I43" s="13"/>
      <c r="J43" s="20"/>
      <c r="K43" s="13" t="n">
        <f aca="false">(E43-C43)/(10-C43)</f>
        <v>0.607734806629834</v>
      </c>
    </row>
    <row r="44" customFormat="false" ht="12.8" hidden="false" customHeight="true" outlineLevel="0" collapsed="false">
      <c r="A44" s="2" t="s">
        <v>20</v>
      </c>
      <c r="B44" s="2" t="s">
        <v>15</v>
      </c>
      <c r="C44" s="18" t="n">
        <v>3.45</v>
      </c>
      <c r="D44" s="2" t="s">
        <v>16</v>
      </c>
      <c r="E44" s="18" t="n">
        <v>8.7</v>
      </c>
      <c r="F44" s="2" t="s">
        <v>18</v>
      </c>
      <c r="G44" s="25" t="n">
        <v>7.5</v>
      </c>
      <c r="H44" s="13" t="n">
        <f aca="false">E44-C44</f>
        <v>5.25</v>
      </c>
      <c r="I44" s="13"/>
      <c r="J44" s="20"/>
      <c r="K44" s="13" t="n">
        <f aca="false">(E44-C44)/(10-C44)</f>
        <v>0.801526717557252</v>
      </c>
    </row>
    <row r="45" customFormat="false" ht="12.8" hidden="false" customHeight="true" outlineLevel="0" collapsed="false">
      <c r="A45" s="2" t="s">
        <v>20</v>
      </c>
      <c r="B45" s="2" t="s">
        <v>15</v>
      </c>
      <c r="C45" s="18" t="n">
        <v>3.45</v>
      </c>
      <c r="D45" s="2" t="s">
        <v>16</v>
      </c>
      <c r="E45" s="18" t="n">
        <v>8.7</v>
      </c>
      <c r="F45" s="2" t="s">
        <v>16</v>
      </c>
      <c r="G45" s="25" t="n">
        <v>9</v>
      </c>
      <c r="H45" s="13" t="n">
        <f aca="false">E45-C45</f>
        <v>5.25</v>
      </c>
      <c r="I45" s="13"/>
      <c r="J45" s="20"/>
      <c r="K45" s="13" t="n">
        <f aca="false">(E45-C45)/(10-C45)</f>
        <v>0.801526717557252</v>
      </c>
    </row>
    <row r="46" customFormat="false" ht="12.8" hidden="false" customHeight="true" outlineLevel="0" collapsed="false">
      <c r="A46" s="4" t="s">
        <v>14</v>
      </c>
      <c r="B46" s="4" t="s">
        <v>19</v>
      </c>
      <c r="C46" s="4" t="n">
        <v>0.95</v>
      </c>
      <c r="D46" s="4" t="s">
        <v>15</v>
      </c>
      <c r="E46" s="4" t="n">
        <v>3.45</v>
      </c>
      <c r="F46" s="4" t="s">
        <v>18</v>
      </c>
      <c r="G46" s="26" t="n">
        <v>7.75</v>
      </c>
      <c r="H46" s="23"/>
      <c r="I46" s="7" t="n">
        <f aca="false">E46-C46</f>
        <v>2.5</v>
      </c>
      <c r="J46" s="7" t="n">
        <f aca="false">(E46-C46)/(10-C46)</f>
        <v>0.276243093922652</v>
      </c>
      <c r="K46" s="23"/>
    </row>
    <row r="47" customFormat="false" ht="12.8" hidden="false" customHeight="true" outlineLevel="0" collapsed="false">
      <c r="A47" s="5" t="s">
        <v>14</v>
      </c>
      <c r="B47" s="5" t="s">
        <v>19</v>
      </c>
      <c r="C47" s="4" t="n">
        <v>0.95</v>
      </c>
      <c r="D47" s="5" t="s">
        <v>15</v>
      </c>
      <c r="E47" s="23" t="n">
        <v>3.45</v>
      </c>
      <c r="F47" s="5" t="s">
        <v>16</v>
      </c>
      <c r="G47" s="22" t="n">
        <v>8</v>
      </c>
      <c r="H47" s="5"/>
      <c r="I47" s="7" t="n">
        <f aca="false">E47-C47</f>
        <v>2.5</v>
      </c>
      <c r="J47" s="7" t="n">
        <f aca="false">(E47-C47)/(10-C47)</f>
        <v>0.276243093922652</v>
      </c>
      <c r="K47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711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2026-01-12T15:33:16Z</dcterms:modified>
  <cp:revision>130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