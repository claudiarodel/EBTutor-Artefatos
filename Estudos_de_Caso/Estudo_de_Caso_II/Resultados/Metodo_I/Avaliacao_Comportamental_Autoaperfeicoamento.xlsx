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<sst xmlns="http://schemas.openxmlformats.org/spreadsheetml/2006/main" count="211" uniqueCount="22">
  <si>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</si>
  <si>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</si>
  <si>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</si>
  <si>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</si>
  <si>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</si>
  <si>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Feddback Instrutor</t>
  </si>
  <si>
    <t xml:space="preserve">Nota Instrutor</t>
  </si>
  <si>
    <t xml:space="preserve">Delta Nota EB</t>
  </si>
  <si>
    <t xml:space="preserve">Delta Nota NEB</t>
  </si>
  <si>
    <t xml:space="preserve">Ganho Normalizado NEB</t>
  </si>
  <si>
    <t xml:space="preserve">Ganho Normalizado 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</si>
  <si>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</si>
  <si>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</si>
  <si>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</si>
  <si>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</si>
  <si>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MB</t>
  </si>
  <si>
    <t xml:space="preserve">B</t>
  </si>
  <si>
    <t xml:space="preserve">intervenção</t>
  </si>
  <si>
    <t xml:space="preserve">I</t>
  </si>
  <si>
    <t xml:space="preserve">R</t>
  </si>
  <si>
    <t xml:space="preserve">E</t>
  </si>
  <si>
    <t xml:space="preserve">controle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</si>
</sst>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;[RED]\-0.000"/>
    <numFmt numFmtId="167" formatCode="#,##0.000"/>
    <numFmt numFmtId="168" formatCode="0.00"/>
    <numFmt numFmtId="169" formatCode="#,##0.0000_);\(#,##0.0000\)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.15"/>
    <col collapsed="false" customWidth="true" hidden="false" outlineLevel="0" max="4" min="4" style="1" width="13.81"/>
    <col collapsed="false" customWidth="true" hidden="false" outlineLevel="0" max="6" min="6" style="1" width="17.45"/>
    <col collapsed="false" customWidth="true" hidden="false" outlineLevel="0" max="8" min="7" style="1" width="19.19"/>
    <col collapsed="false" customWidth="true" hidden="false" outlineLevel="0" max="9" min="9" style="1" width="18.87"/>
    <col collapsed="false" customWidth="true" hidden="false" outlineLevel="0" max="10" min="10" style="1" width="23.31"/>
    <col collapsed="false" customWidth="true" hidden="false" outlineLevel="0" max="11" min="11" style="1" width="20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1" t="s">
        <v>11</v>
      </c>
      <c r="N1" s="1" t="s">
        <v>12</v>
      </c>
      <c r="O1" s="1" t="s">
        <v>13</v>
      </c>
    </row>
    <row r="2" customFormat="false" ht="12.8" hidden="false" customHeight="false" outlineLevel="0" collapsed="false">
      <c r="A2" s="2" t="s">
        <v>14</v>
      </c>
      <c r="B2" s="2" t="s">
        <v>15</v>
      </c>
      <c r="C2" s="4" t="n">
        <v>8.7</v>
      </c>
      <c r="D2" s="4" t="s">
        <v>15</v>
      </c>
      <c r="E2" s="4" t="n">
        <v>8.7</v>
      </c>
      <c r="F2" s="5" t="s">
        <v>15</v>
      </c>
      <c r="G2" s="6" t="n">
        <v>9.1</v>
      </c>
      <c r="H2" s="7" t="n">
        <f aca="false">E2-C2</f>
        <v>0</v>
      </c>
      <c r="I2" s="7"/>
      <c r="J2" s="8"/>
      <c r="K2" s="7" t="n">
        <f aca="false">(E2-C2)/(10-C2)</f>
        <v>0</v>
      </c>
    </row>
    <row r="3" customFormat="false" ht="12.8" hidden="false" customHeight="false" outlineLevel="0" collapsed="false">
      <c r="A3" s="2" t="s">
        <v>14</v>
      </c>
      <c r="B3" s="2" t="s">
        <v>16</v>
      </c>
      <c r="C3" s="4" t="n">
        <v>6.45</v>
      </c>
      <c r="D3" s="4" t="s">
        <v>16</v>
      </c>
      <c r="E3" s="4" t="n">
        <v>6.45</v>
      </c>
      <c r="F3" s="5" t="s">
        <v>15</v>
      </c>
      <c r="G3" s="6" t="n">
        <v>9</v>
      </c>
      <c r="H3" s="7" t="n">
        <f aca="false">E3-C3</f>
        <v>0</v>
      </c>
      <c r="I3" s="7"/>
      <c r="J3" s="8"/>
      <c r="K3" s="7" t="n">
        <f aca="false">(E3-C3)/(10-C3)</f>
        <v>0</v>
      </c>
      <c r="L3" s="1" t="s">
        <v>17</v>
      </c>
      <c r="M3" s="9" t="n">
        <f aca="false">AVERAGE(K2:K57)</f>
        <v>0.197052380985553</v>
      </c>
      <c r="N3" s="9" t="n">
        <f aca="false">MEDIAN(K2:K57)</f>
        <v>0</v>
      </c>
      <c r="O3" s="9" t="n">
        <f aca="false">STDEV(K2:K57)</f>
        <v>0.280136338634136</v>
      </c>
    </row>
    <row r="4" customFormat="false" ht="12.8" hidden="false" customHeight="false" outlineLevel="0" collapsed="false">
      <c r="A4" s="10" t="s">
        <v>14</v>
      </c>
      <c r="B4" s="2" t="s">
        <v>18</v>
      </c>
      <c r="C4" s="4" t="n">
        <v>0.95</v>
      </c>
      <c r="D4" s="4" t="s">
        <v>19</v>
      </c>
      <c r="E4" s="4" t="n">
        <v>3.45</v>
      </c>
      <c r="F4" s="5" t="s">
        <v>15</v>
      </c>
      <c r="G4" s="6" t="n">
        <v>9.1</v>
      </c>
      <c r="H4" s="7" t="n">
        <f aca="false">E4-C4</f>
        <v>2.5</v>
      </c>
      <c r="I4" s="7"/>
      <c r="J4" s="8"/>
      <c r="K4" s="7" t="n">
        <f aca="false">(E4-C4)/(10-C4)</f>
        <v>0.276243093922652</v>
      </c>
      <c r="M4" s="9"/>
      <c r="N4" s="9"/>
    </row>
    <row r="5" customFormat="false" ht="12.8" hidden="false" customHeight="false" outlineLevel="0" collapsed="false">
      <c r="A5" s="2" t="s">
        <v>14</v>
      </c>
      <c r="B5" s="2" t="s">
        <v>19</v>
      </c>
      <c r="C5" s="4" t="n">
        <v>3.45</v>
      </c>
      <c r="D5" s="4" t="s">
        <v>16</v>
      </c>
      <c r="E5" s="4" t="n">
        <v>6.45</v>
      </c>
      <c r="F5" s="5" t="s">
        <v>20</v>
      </c>
      <c r="G5" s="6" t="n">
        <v>9.5</v>
      </c>
      <c r="H5" s="7" t="n">
        <f aca="false">E5-C5</f>
        <v>3</v>
      </c>
      <c r="I5" s="7"/>
      <c r="J5" s="8"/>
      <c r="K5" s="7" t="n">
        <f aca="false">(E5-C5)/(10-C5)</f>
        <v>0.458015267175573</v>
      </c>
      <c r="M5" s="9"/>
      <c r="N5" s="9"/>
    </row>
    <row r="6" customFormat="false" ht="12.8" hidden="false" customHeight="false" outlineLevel="0" collapsed="false">
      <c r="A6" s="2" t="s">
        <v>14</v>
      </c>
      <c r="B6" s="2" t="s">
        <v>15</v>
      </c>
      <c r="C6" s="4" t="n">
        <v>8.7</v>
      </c>
      <c r="D6" s="11" t="s">
        <v>15</v>
      </c>
      <c r="E6" s="11" t="n">
        <v>8.7</v>
      </c>
      <c r="F6" s="12" t="s">
        <v>20</v>
      </c>
      <c r="G6" s="13" t="n">
        <v>9.83</v>
      </c>
      <c r="H6" s="7" t="n">
        <f aca="false">E6-C6</f>
        <v>0</v>
      </c>
      <c r="I6" s="7"/>
      <c r="J6" s="8"/>
      <c r="K6" s="7" t="n">
        <f aca="false">(E6-C6)/(10-C6)</f>
        <v>0</v>
      </c>
      <c r="L6" s="1" t="s">
        <v>21</v>
      </c>
      <c r="M6" s="9" t="n">
        <f aca="false">AVERAGE(J14:J57)</f>
        <v>0.0275566442131047</v>
      </c>
      <c r="N6" s="9" t="n">
        <f aca="false">MEDIAN(J14:J57)</f>
        <v>0</v>
      </c>
      <c r="O6" s="9" t="n">
        <f aca="false">STDEV(J14:J57)</f>
        <v>0.132157022993921</v>
      </c>
    </row>
    <row r="7" customFormat="false" ht="12.8" hidden="false" customHeight="false" outlineLevel="0" collapsed="false">
      <c r="A7" s="10" t="s">
        <v>14</v>
      </c>
      <c r="B7" s="10" t="s">
        <v>16</v>
      </c>
      <c r="C7" s="4" t="n">
        <v>6.45</v>
      </c>
      <c r="D7" s="4" t="s">
        <v>16</v>
      </c>
      <c r="E7" s="4" t="n">
        <v>6.45</v>
      </c>
      <c r="F7" s="5" t="s">
        <v>15</v>
      </c>
      <c r="G7" s="6" t="n">
        <v>9</v>
      </c>
      <c r="H7" s="7" t="n">
        <f aca="false">E7-C7</f>
        <v>0</v>
      </c>
      <c r="I7" s="7"/>
      <c r="J7" s="8"/>
      <c r="K7" s="7" t="n">
        <f aca="false">(E7-C7)/(10-C7)</f>
        <v>0</v>
      </c>
    </row>
    <row r="8" customFormat="false" ht="12.8" hidden="false" customHeight="false" outlineLevel="0" collapsed="false">
      <c r="A8" s="2" t="s">
        <v>14</v>
      </c>
      <c r="B8" s="2" t="s">
        <v>19</v>
      </c>
      <c r="C8" s="4" t="n">
        <v>3.45</v>
      </c>
      <c r="D8" s="4" t="s">
        <v>19</v>
      </c>
      <c r="E8" s="4" t="n">
        <v>3.45</v>
      </c>
      <c r="F8" s="5" t="s">
        <v>15</v>
      </c>
      <c r="G8" s="6" t="n">
        <v>9.33</v>
      </c>
      <c r="H8" s="7" t="n">
        <f aca="false">E8-C8</f>
        <v>0</v>
      </c>
      <c r="I8" s="7"/>
      <c r="J8" s="8"/>
      <c r="K8" s="7" t="n">
        <f aca="false">(E8-C8)/(10-C8)</f>
        <v>0</v>
      </c>
    </row>
    <row r="9" customFormat="false" ht="12.8" hidden="false" customHeight="false" outlineLevel="0" collapsed="false">
      <c r="A9" s="2" t="s">
        <v>14</v>
      </c>
      <c r="B9" s="2" t="s">
        <v>19</v>
      </c>
      <c r="C9" s="4" t="n">
        <v>3.45</v>
      </c>
      <c r="D9" s="4" t="s">
        <v>16</v>
      </c>
      <c r="E9" s="4" t="n">
        <v>6.45</v>
      </c>
      <c r="F9" s="5" t="s">
        <v>15</v>
      </c>
      <c r="G9" s="6" t="n">
        <v>9</v>
      </c>
      <c r="H9" s="7" t="n">
        <f aca="false">E9-C9</f>
        <v>3</v>
      </c>
      <c r="I9" s="7"/>
      <c r="J9" s="8"/>
      <c r="K9" s="7" t="n">
        <f aca="false">(E9-C9)/(10-C9)</f>
        <v>0.458015267175573</v>
      </c>
    </row>
    <row r="10" customFormat="false" ht="12.8" hidden="false" customHeight="false" outlineLevel="0" collapsed="false">
      <c r="A10" s="2" t="s">
        <v>14</v>
      </c>
      <c r="B10" s="2" t="s">
        <v>15</v>
      </c>
      <c r="C10" s="4" t="n">
        <v>8.7</v>
      </c>
      <c r="D10" s="4" t="s">
        <v>15</v>
      </c>
      <c r="E10" s="14" t="n">
        <v>8.7</v>
      </c>
      <c r="F10" s="5" t="s">
        <v>15</v>
      </c>
      <c r="G10" s="6" t="n">
        <v>9.1</v>
      </c>
      <c r="H10" s="7" t="n">
        <f aca="false">E10-C10</f>
        <v>0</v>
      </c>
      <c r="I10" s="7"/>
      <c r="J10" s="8"/>
      <c r="K10" s="7" t="n">
        <f aca="false">(E10-C10)/(10-C10)</f>
        <v>0</v>
      </c>
    </row>
    <row r="11" customFormat="false" ht="12.8" hidden="false" customHeight="false" outlineLevel="0" collapsed="false">
      <c r="A11" s="10" t="s">
        <v>14</v>
      </c>
      <c r="B11" s="2" t="s">
        <v>19</v>
      </c>
      <c r="C11" s="4" t="n">
        <v>3.45</v>
      </c>
      <c r="D11" s="4" t="s">
        <v>19</v>
      </c>
      <c r="E11" s="4" t="n">
        <v>3.45</v>
      </c>
      <c r="F11" s="5" t="s">
        <v>15</v>
      </c>
      <c r="G11" s="6" t="n">
        <v>9</v>
      </c>
      <c r="H11" s="7" t="n">
        <f aca="false">E11-C11</f>
        <v>0</v>
      </c>
      <c r="I11" s="7"/>
      <c r="J11" s="7"/>
      <c r="K11" s="7" t="n">
        <f aca="false">(E11-C11)/(10-C11)</f>
        <v>0</v>
      </c>
    </row>
    <row r="12" customFormat="false" ht="12.8" hidden="false" customHeight="false" outlineLevel="0" collapsed="false">
      <c r="A12" s="2" t="s">
        <v>14</v>
      </c>
      <c r="B12" s="2" t="s">
        <v>15</v>
      </c>
      <c r="C12" s="4" t="n">
        <v>8.7</v>
      </c>
      <c r="D12" s="4" t="s">
        <v>15</v>
      </c>
      <c r="E12" s="4" t="n">
        <v>8.7</v>
      </c>
      <c r="F12" s="5" t="s">
        <v>20</v>
      </c>
      <c r="G12" s="6" t="n">
        <v>9.67</v>
      </c>
      <c r="H12" s="7" t="n">
        <f aca="false">E12-C12</f>
        <v>0</v>
      </c>
      <c r="I12" s="7"/>
      <c r="J12" s="7"/>
      <c r="K12" s="7" t="n">
        <f aca="false">(E12-C12)/(10-C12)</f>
        <v>0</v>
      </c>
    </row>
    <row r="13" customFormat="false" ht="12.8" hidden="false" customHeight="false" outlineLevel="0" collapsed="false">
      <c r="A13" s="10" t="s">
        <v>14</v>
      </c>
      <c r="B13" s="2" t="s">
        <v>15</v>
      </c>
      <c r="C13" s="4" t="n">
        <v>8.7</v>
      </c>
      <c r="D13" s="4" t="s">
        <v>15</v>
      </c>
      <c r="E13" s="4" t="n">
        <v>8.7</v>
      </c>
      <c r="F13" s="5" t="s">
        <v>20</v>
      </c>
      <c r="G13" s="6" t="n">
        <v>9.5</v>
      </c>
      <c r="H13" s="7" t="n">
        <f aca="false">E13-C13</f>
        <v>0</v>
      </c>
      <c r="I13" s="7"/>
      <c r="J13" s="7"/>
      <c r="K13" s="7" t="n">
        <f aca="false">(E13-C13)/(10-C13)</f>
        <v>0</v>
      </c>
    </row>
    <row r="14" customFormat="false" ht="12.8" hidden="false" customHeight="false" outlineLevel="0" collapsed="false">
      <c r="A14" s="15" t="s">
        <v>21</v>
      </c>
      <c r="B14" s="16" t="s">
        <v>19</v>
      </c>
      <c r="C14" s="17" t="n">
        <v>3.45</v>
      </c>
      <c r="D14" s="18" t="s">
        <v>19</v>
      </c>
      <c r="E14" s="18" t="n">
        <v>3.45</v>
      </c>
      <c r="F14" s="19" t="s">
        <v>15</v>
      </c>
      <c r="G14" s="20" t="n">
        <v>9</v>
      </c>
      <c r="H14" s="21"/>
      <c r="I14" s="21" t="n">
        <f aca="false">E14-C14</f>
        <v>0</v>
      </c>
      <c r="J14" s="21" t="n">
        <f aca="false">(E14-C14)/(10-C14)</f>
        <v>0</v>
      </c>
      <c r="K14" s="21"/>
    </row>
    <row r="15" customFormat="false" ht="12.8" hidden="false" customHeight="false" outlineLevel="0" collapsed="false">
      <c r="A15" s="2" t="s">
        <v>14</v>
      </c>
      <c r="B15" s="2" t="s">
        <v>15</v>
      </c>
      <c r="C15" s="4" t="n">
        <v>8.7</v>
      </c>
      <c r="D15" s="4" t="s">
        <v>15</v>
      </c>
      <c r="E15" s="4" t="n">
        <v>8.7</v>
      </c>
      <c r="F15" s="5" t="s">
        <v>20</v>
      </c>
      <c r="G15" s="6" t="n">
        <v>9.5</v>
      </c>
      <c r="H15" s="7" t="n">
        <f aca="false">E15-C15</f>
        <v>0</v>
      </c>
      <c r="I15" s="7"/>
      <c r="J15" s="7"/>
      <c r="K15" s="7" t="n">
        <f aca="false">(E15-C15)/(10-C15)</f>
        <v>0</v>
      </c>
    </row>
    <row r="16" customFormat="false" ht="12.8" hidden="false" customHeight="false" outlineLevel="0" collapsed="false">
      <c r="A16" s="2" t="s">
        <v>14</v>
      </c>
      <c r="B16" s="2" t="s">
        <v>15</v>
      </c>
      <c r="C16" s="4" t="n">
        <v>8.7</v>
      </c>
      <c r="D16" s="4" t="s">
        <v>15</v>
      </c>
      <c r="E16" s="4" t="n">
        <v>8.7</v>
      </c>
      <c r="F16" s="5" t="s">
        <v>15</v>
      </c>
      <c r="G16" s="6" t="n">
        <v>9</v>
      </c>
      <c r="H16" s="7" t="n">
        <f aca="false">E16-C16</f>
        <v>0</v>
      </c>
      <c r="I16" s="7"/>
      <c r="J16" s="7"/>
      <c r="K16" s="7" t="n">
        <f aca="false">(E16-C16)/(10-C16)</f>
        <v>0</v>
      </c>
    </row>
    <row r="17" customFormat="false" ht="12.8" hidden="false" customHeight="false" outlineLevel="0" collapsed="false">
      <c r="A17" s="2" t="s">
        <v>14</v>
      </c>
      <c r="B17" s="2" t="s">
        <v>19</v>
      </c>
      <c r="C17" s="4" t="n">
        <v>3.45</v>
      </c>
      <c r="D17" s="4" t="s">
        <v>16</v>
      </c>
      <c r="E17" s="4" t="n">
        <v>6.45</v>
      </c>
      <c r="F17" s="5" t="s">
        <v>15</v>
      </c>
      <c r="G17" s="6" t="n">
        <v>9</v>
      </c>
      <c r="H17" s="7" t="n">
        <f aca="false">E17-C17</f>
        <v>3</v>
      </c>
      <c r="I17" s="7"/>
      <c r="J17" s="7"/>
      <c r="K17" s="7" t="n">
        <f aca="false">(E17-C17)/(10-C17)</f>
        <v>0.458015267175573</v>
      </c>
    </row>
    <row r="18" customFormat="false" ht="12.8" hidden="false" customHeight="false" outlineLevel="0" collapsed="false">
      <c r="A18" s="2" t="s">
        <v>14</v>
      </c>
      <c r="B18" s="2" t="s">
        <v>16</v>
      </c>
      <c r="C18" s="4" t="n">
        <v>6.45</v>
      </c>
      <c r="D18" s="4" t="s">
        <v>15</v>
      </c>
      <c r="E18" s="4" t="n">
        <v>8.7</v>
      </c>
      <c r="F18" s="5" t="s">
        <v>15</v>
      </c>
      <c r="G18" s="6" t="n">
        <v>9.33</v>
      </c>
      <c r="H18" s="7" t="n">
        <f aca="false">E18-C18</f>
        <v>2.25</v>
      </c>
      <c r="I18" s="7"/>
      <c r="J18" s="7"/>
      <c r="K18" s="7" t="n">
        <f aca="false">(E18-C18)/(10-C18)</f>
        <v>0.633802816901408</v>
      </c>
    </row>
    <row r="19" customFormat="false" ht="12.8" hidden="false" customHeight="false" outlineLevel="0" collapsed="false">
      <c r="A19" s="2" t="s">
        <v>14</v>
      </c>
      <c r="B19" s="2" t="s">
        <v>16</v>
      </c>
      <c r="C19" s="4" t="n">
        <v>6.45</v>
      </c>
      <c r="D19" s="4" t="s">
        <v>16</v>
      </c>
      <c r="E19" s="4" t="n">
        <v>6.45</v>
      </c>
      <c r="F19" s="5" t="s">
        <v>20</v>
      </c>
      <c r="G19" s="6" t="n">
        <v>9.5</v>
      </c>
      <c r="H19" s="7" t="n">
        <f aca="false">E19-C19</f>
        <v>0</v>
      </c>
      <c r="I19" s="7"/>
      <c r="J19" s="7"/>
      <c r="K19" s="7" t="n">
        <f aca="false">(E19-C19)/(10-C19)</f>
        <v>0</v>
      </c>
    </row>
    <row r="20" customFormat="false" ht="12.8" hidden="false" customHeight="false" outlineLevel="0" collapsed="false">
      <c r="A20" s="15" t="s">
        <v>21</v>
      </c>
      <c r="B20" s="15" t="s">
        <v>15</v>
      </c>
      <c r="C20" s="18" t="n">
        <v>8.7</v>
      </c>
      <c r="D20" s="22" t="s">
        <v>15</v>
      </c>
      <c r="E20" s="22" t="n">
        <v>8.7</v>
      </c>
      <c r="F20" s="19"/>
      <c r="G20" s="20"/>
      <c r="H20" s="21"/>
      <c r="I20" s="21" t="n">
        <f aca="false">E20-C20</f>
        <v>0</v>
      </c>
      <c r="J20" s="21" t="n">
        <f aca="false">(E20-C20)/(10-C20)</f>
        <v>0</v>
      </c>
      <c r="K20" s="21"/>
    </row>
    <row r="21" customFormat="false" ht="12.8" hidden="false" customHeight="false" outlineLevel="0" collapsed="false">
      <c r="A21" s="2" t="s">
        <v>14</v>
      </c>
      <c r="B21" s="2" t="s">
        <v>19</v>
      </c>
      <c r="C21" s="4" t="n">
        <v>3.45</v>
      </c>
      <c r="D21" s="11" t="s">
        <v>16</v>
      </c>
      <c r="E21" s="11" t="n">
        <v>6.45</v>
      </c>
      <c r="F21" s="12" t="s">
        <v>15</v>
      </c>
      <c r="G21" s="13" t="n">
        <v>9.33</v>
      </c>
      <c r="H21" s="23" t="n">
        <f aca="false">E21-C21</f>
        <v>3</v>
      </c>
      <c r="I21" s="7"/>
      <c r="J21" s="7"/>
      <c r="K21" s="7" t="n">
        <f aca="false">(E21-C21)/(10-C21)</f>
        <v>0.458015267175573</v>
      </c>
    </row>
    <row r="22" customFormat="false" ht="12.8" hidden="false" customHeight="false" outlineLevel="0" collapsed="false">
      <c r="A22" s="15" t="s">
        <v>21</v>
      </c>
      <c r="B22" s="15" t="s">
        <v>18</v>
      </c>
      <c r="C22" s="18" t="n">
        <v>0.95</v>
      </c>
      <c r="D22" s="18" t="s">
        <v>18</v>
      </c>
      <c r="E22" s="18" t="n">
        <v>0.95</v>
      </c>
      <c r="F22" s="19" t="s">
        <v>15</v>
      </c>
      <c r="G22" s="20" t="n">
        <v>8.5</v>
      </c>
      <c r="H22" s="24"/>
      <c r="I22" s="21" t="n">
        <f aca="false">E22-C22</f>
        <v>0</v>
      </c>
      <c r="J22" s="21" t="n">
        <f aca="false">(E22-C22)/(10-C22)</f>
        <v>0</v>
      </c>
      <c r="K22" s="21"/>
    </row>
    <row r="23" customFormat="false" ht="12.8" hidden="false" customHeight="false" outlineLevel="0" collapsed="false">
      <c r="A23" s="15" t="s">
        <v>21</v>
      </c>
      <c r="B23" s="15" t="s">
        <v>18</v>
      </c>
      <c r="C23" s="18" t="n">
        <v>0.95</v>
      </c>
      <c r="D23" s="18" t="s">
        <v>18</v>
      </c>
      <c r="E23" s="18" t="n">
        <v>0.95</v>
      </c>
      <c r="F23" s="19" t="s">
        <v>15</v>
      </c>
      <c r="G23" s="20" t="n">
        <v>9.17</v>
      </c>
      <c r="H23" s="24"/>
      <c r="I23" s="21" t="n">
        <f aca="false">E23-C23</f>
        <v>0</v>
      </c>
      <c r="J23" s="21" t="n">
        <f aca="false">(E23-C23)/(10-C23)</f>
        <v>0</v>
      </c>
      <c r="K23" s="21"/>
    </row>
    <row r="24" customFormat="false" ht="12.8" hidden="false" customHeight="false" outlineLevel="0" collapsed="false">
      <c r="A24" s="15" t="s">
        <v>21</v>
      </c>
      <c r="B24" s="15" t="s">
        <v>18</v>
      </c>
      <c r="C24" s="18" t="n">
        <v>0.95</v>
      </c>
      <c r="D24" s="18" t="s">
        <v>18</v>
      </c>
      <c r="E24" s="18" t="n">
        <v>0.95</v>
      </c>
      <c r="F24" s="19" t="s">
        <v>15</v>
      </c>
      <c r="G24" s="20" t="n">
        <v>9</v>
      </c>
      <c r="H24" s="24"/>
      <c r="I24" s="21" t="n">
        <f aca="false">E24-C24</f>
        <v>0</v>
      </c>
      <c r="J24" s="21" t="n">
        <f aca="false">(E24-C24)/(10-C24)</f>
        <v>0</v>
      </c>
      <c r="K24" s="21"/>
    </row>
    <row r="25" customFormat="false" ht="12.8" hidden="false" customHeight="false" outlineLevel="0" collapsed="false">
      <c r="A25" s="15" t="s">
        <v>21</v>
      </c>
      <c r="B25" s="15" t="s">
        <v>18</v>
      </c>
      <c r="C25" s="18" t="n">
        <v>0.95</v>
      </c>
      <c r="D25" s="18" t="s">
        <v>18</v>
      </c>
      <c r="E25" s="18" t="n">
        <v>0.95</v>
      </c>
      <c r="F25" s="19" t="s">
        <v>15</v>
      </c>
      <c r="G25" s="20" t="n">
        <v>9.17</v>
      </c>
      <c r="H25" s="24"/>
      <c r="I25" s="21" t="n">
        <f aca="false">E25-C25</f>
        <v>0</v>
      </c>
      <c r="J25" s="21" t="n">
        <f aca="false">(E25-C25)/(10-C25)</f>
        <v>0</v>
      </c>
      <c r="K25" s="21"/>
    </row>
    <row r="26" customFormat="false" ht="12.8" hidden="false" customHeight="false" outlineLevel="0" collapsed="false">
      <c r="A26" s="15" t="s">
        <v>21</v>
      </c>
      <c r="B26" s="15" t="s">
        <v>18</v>
      </c>
      <c r="C26" s="18" t="n">
        <v>0.95</v>
      </c>
      <c r="D26" s="18" t="s">
        <v>18</v>
      </c>
      <c r="E26" s="18" t="n">
        <v>0.95</v>
      </c>
      <c r="F26" s="19" t="s">
        <v>15</v>
      </c>
      <c r="G26" s="20" t="n">
        <v>9.17</v>
      </c>
      <c r="H26" s="24"/>
      <c r="I26" s="21" t="n">
        <f aca="false">E26-C26</f>
        <v>0</v>
      </c>
      <c r="J26" s="21" t="n">
        <f aca="false">(E26-C26)/(10-C26)</f>
        <v>0</v>
      </c>
      <c r="K26" s="21"/>
    </row>
    <row r="27" customFormat="false" ht="12.8" hidden="false" customHeight="false" outlineLevel="0" collapsed="false">
      <c r="A27" s="15" t="s">
        <v>21</v>
      </c>
      <c r="B27" s="15" t="s">
        <v>18</v>
      </c>
      <c r="C27" s="18" t="n">
        <v>0.95</v>
      </c>
      <c r="D27" s="18" t="s">
        <v>18</v>
      </c>
      <c r="E27" s="18" t="n">
        <v>0.95</v>
      </c>
      <c r="F27" s="18" t="s">
        <v>15</v>
      </c>
      <c r="G27" s="20" t="n">
        <v>9.17</v>
      </c>
      <c r="H27" s="24"/>
      <c r="I27" s="21" t="n">
        <f aca="false">E27-C27</f>
        <v>0</v>
      </c>
      <c r="J27" s="21" t="n">
        <f aca="false">(E27-C27)/(10-C27)</f>
        <v>0</v>
      </c>
      <c r="K27" s="21"/>
    </row>
    <row r="28" customFormat="false" ht="12.8" hidden="false" customHeight="false" outlineLevel="0" collapsed="false">
      <c r="A28" s="15" t="s">
        <v>21</v>
      </c>
      <c r="B28" s="15" t="s">
        <v>19</v>
      </c>
      <c r="C28" s="18" t="n">
        <v>3.45</v>
      </c>
      <c r="D28" s="18" t="s">
        <v>19</v>
      </c>
      <c r="E28" s="18" t="n">
        <v>3.45</v>
      </c>
      <c r="F28" s="18" t="s">
        <v>15</v>
      </c>
      <c r="G28" s="20" t="n">
        <v>9.33</v>
      </c>
      <c r="H28" s="24"/>
      <c r="I28" s="21" t="n">
        <f aca="false">E28-C28</f>
        <v>0</v>
      </c>
      <c r="J28" s="21" t="n">
        <f aca="false">(E28-C28)/(10-C28)</f>
        <v>0</v>
      </c>
      <c r="K28" s="21"/>
    </row>
    <row r="29" customFormat="false" ht="12.8" hidden="false" customHeight="false" outlineLevel="0" collapsed="false">
      <c r="A29" s="15" t="s">
        <v>21</v>
      </c>
      <c r="B29" s="15" t="s">
        <v>18</v>
      </c>
      <c r="C29" s="25" t="n">
        <v>0.95</v>
      </c>
      <c r="D29" s="15" t="s">
        <v>18</v>
      </c>
      <c r="E29" s="15" t="n">
        <v>0.95</v>
      </c>
      <c r="F29" s="18" t="s">
        <v>15</v>
      </c>
      <c r="G29" s="20" t="n">
        <v>9.17</v>
      </c>
      <c r="H29" s="24"/>
      <c r="I29" s="21" t="n">
        <f aca="false">E29-C29</f>
        <v>0</v>
      </c>
      <c r="J29" s="21" t="n">
        <f aca="false">(E29-C29)/(10-C29)</f>
        <v>0</v>
      </c>
      <c r="K29" s="21"/>
    </row>
    <row r="30" customFormat="false" ht="12.8" hidden="false" customHeight="true" outlineLevel="0" collapsed="false">
      <c r="A30" s="10" t="s">
        <v>14</v>
      </c>
      <c r="B30" s="10" t="s">
        <v>19</v>
      </c>
      <c r="C30" s="13" t="n">
        <v>3.45</v>
      </c>
      <c r="D30" s="10" t="s">
        <v>19</v>
      </c>
      <c r="E30" s="11" t="n">
        <v>3.45</v>
      </c>
      <c r="F30" s="12"/>
      <c r="G30" s="13"/>
      <c r="H30" s="26" t="n">
        <f aca="false">E30-C30</f>
        <v>0</v>
      </c>
      <c r="I30" s="26"/>
      <c r="J30" s="8"/>
      <c r="K30" s="27" t="n">
        <f aca="false">(E30-C30)/(10-C30)</f>
        <v>0</v>
      </c>
    </row>
    <row r="31" customFormat="false" ht="12.8" hidden="false" customHeight="true" outlineLevel="0" collapsed="false">
      <c r="A31" s="10" t="s">
        <v>14</v>
      </c>
      <c r="B31" s="10" t="s">
        <v>19</v>
      </c>
      <c r="C31" s="13" t="n">
        <v>3.45</v>
      </c>
      <c r="D31" s="10" t="s">
        <v>19</v>
      </c>
      <c r="E31" s="11" t="n">
        <v>3.45</v>
      </c>
      <c r="F31" s="12"/>
      <c r="G31" s="13"/>
      <c r="H31" s="26" t="n">
        <f aca="false">E31-C31</f>
        <v>0</v>
      </c>
      <c r="I31" s="26"/>
      <c r="J31" s="8"/>
      <c r="K31" s="27" t="n">
        <f aca="false">(E31-C31)/(10-C31)</f>
        <v>0</v>
      </c>
    </row>
    <row r="32" customFormat="false" ht="12.8" hidden="false" customHeight="true" outlineLevel="0" collapsed="false">
      <c r="A32" s="10" t="s">
        <v>14</v>
      </c>
      <c r="B32" s="10" t="s">
        <v>19</v>
      </c>
      <c r="C32" s="13" t="n">
        <v>3.45</v>
      </c>
      <c r="D32" s="10" t="s">
        <v>19</v>
      </c>
      <c r="E32" s="11" t="n">
        <v>3.45</v>
      </c>
      <c r="F32" s="12"/>
      <c r="G32" s="13"/>
      <c r="H32" s="26" t="n">
        <f aca="false">E32-C32</f>
        <v>0</v>
      </c>
      <c r="I32" s="26"/>
      <c r="J32" s="8"/>
      <c r="K32" s="27" t="n">
        <f aca="false">(E32-C32)/(10-C32)</f>
        <v>0</v>
      </c>
    </row>
    <row r="33" customFormat="false" ht="12.8" hidden="false" customHeight="true" outlineLevel="0" collapsed="false">
      <c r="A33" s="10" t="s">
        <v>14</v>
      </c>
      <c r="B33" s="10" t="s">
        <v>19</v>
      </c>
      <c r="C33" s="13" t="n">
        <v>3.45</v>
      </c>
      <c r="D33" s="10" t="s">
        <v>16</v>
      </c>
      <c r="E33" s="11" t="n">
        <v>6.45</v>
      </c>
      <c r="F33" s="12"/>
      <c r="G33" s="13"/>
      <c r="H33" s="26" t="n">
        <f aca="false">E33-C33</f>
        <v>3</v>
      </c>
      <c r="I33" s="26"/>
      <c r="J33" s="8"/>
      <c r="K33" s="27" t="n">
        <f aca="false">(E33-C33)/(10-C33)</f>
        <v>0.458015267175573</v>
      </c>
    </row>
    <row r="34" customFormat="false" ht="12.8" hidden="false" customHeight="true" outlineLevel="0" collapsed="false">
      <c r="A34" s="10" t="s">
        <v>14</v>
      </c>
      <c r="B34" s="10" t="s">
        <v>19</v>
      </c>
      <c r="C34" s="13" t="n">
        <v>3.45</v>
      </c>
      <c r="D34" s="10" t="s">
        <v>19</v>
      </c>
      <c r="E34" s="11" t="n">
        <v>3.45</v>
      </c>
      <c r="F34" s="12"/>
      <c r="G34" s="13"/>
      <c r="H34" s="26" t="n">
        <f aca="false">E34-C34</f>
        <v>0</v>
      </c>
      <c r="I34" s="26"/>
      <c r="J34" s="8"/>
      <c r="K34" s="27" t="n">
        <f aca="false">(E34-C34)/(10-C34)</f>
        <v>0</v>
      </c>
    </row>
    <row r="35" customFormat="false" ht="12.8" hidden="false" customHeight="true" outlineLevel="0" collapsed="false">
      <c r="A35" s="10" t="s">
        <v>14</v>
      </c>
      <c r="B35" s="10" t="s">
        <v>16</v>
      </c>
      <c r="C35" s="13" t="n">
        <v>6.45</v>
      </c>
      <c r="D35" s="10" t="s">
        <v>15</v>
      </c>
      <c r="E35" s="13" t="n">
        <v>8.7</v>
      </c>
      <c r="F35" s="12"/>
      <c r="G35" s="13"/>
      <c r="H35" s="26" t="n">
        <f aca="false">E35-C35</f>
        <v>2.25</v>
      </c>
      <c r="I35" s="26"/>
      <c r="J35" s="8"/>
      <c r="K35" s="27" t="n">
        <f aca="false">(E35-C35)/(10-C35)</f>
        <v>0.633802816901408</v>
      </c>
    </row>
    <row r="36" customFormat="false" ht="12.8" hidden="false" customHeight="true" outlineLevel="0" collapsed="false">
      <c r="A36" s="10" t="s">
        <v>14</v>
      </c>
      <c r="B36" s="10" t="s">
        <v>19</v>
      </c>
      <c r="C36" s="13" t="n">
        <v>3.45</v>
      </c>
      <c r="D36" s="10" t="s">
        <v>19</v>
      </c>
      <c r="E36" s="11" t="n">
        <v>3.45</v>
      </c>
      <c r="F36" s="12"/>
      <c r="G36" s="13"/>
      <c r="H36" s="26" t="n">
        <f aca="false">E36-C36</f>
        <v>0</v>
      </c>
      <c r="I36" s="26"/>
      <c r="J36" s="8"/>
      <c r="K36" s="27" t="n">
        <f aca="false">(E36-C36)/(10-C36)</f>
        <v>0</v>
      </c>
    </row>
    <row r="37" customFormat="false" ht="12.8" hidden="false" customHeight="true" outlineLevel="0" collapsed="false">
      <c r="A37" s="15" t="s">
        <v>21</v>
      </c>
      <c r="B37" s="15" t="s">
        <v>18</v>
      </c>
      <c r="C37" s="20" t="n">
        <v>0.95</v>
      </c>
      <c r="D37" s="15" t="s">
        <v>18</v>
      </c>
      <c r="E37" s="18" t="n">
        <v>0.95</v>
      </c>
      <c r="F37" s="19"/>
      <c r="G37" s="20"/>
      <c r="H37" s="21"/>
      <c r="I37" s="21" t="n">
        <f aca="false">E37-C37</f>
        <v>0</v>
      </c>
      <c r="J37" s="28" t="n">
        <f aca="false">(E37-C37)/(10-C37)</f>
        <v>0</v>
      </c>
      <c r="K37" s="29"/>
    </row>
    <row r="38" customFormat="false" ht="12.8" hidden="false" customHeight="true" outlineLevel="0" collapsed="false">
      <c r="A38" s="10" t="s">
        <v>14</v>
      </c>
      <c r="B38" s="10" t="s">
        <v>19</v>
      </c>
      <c r="C38" s="13" t="n">
        <v>3.45</v>
      </c>
      <c r="D38" s="10" t="s">
        <v>19</v>
      </c>
      <c r="E38" s="11" t="n">
        <v>3.45</v>
      </c>
      <c r="F38" s="12"/>
      <c r="G38" s="13"/>
      <c r="H38" s="26" t="n">
        <f aca="false">E38-C38</f>
        <v>0</v>
      </c>
      <c r="I38" s="26"/>
      <c r="J38" s="8"/>
      <c r="K38" s="27" t="n">
        <f aca="false">(E38-C38)/(10-C38)</f>
        <v>0</v>
      </c>
    </row>
    <row r="39" customFormat="false" ht="12.8" hidden="false" customHeight="true" outlineLevel="0" collapsed="false">
      <c r="A39" s="15" t="s">
        <v>21</v>
      </c>
      <c r="B39" s="15" t="s">
        <v>19</v>
      </c>
      <c r="C39" s="20" t="n">
        <v>3.45</v>
      </c>
      <c r="D39" s="15" t="s">
        <v>19</v>
      </c>
      <c r="E39" s="18" t="n">
        <v>3.45</v>
      </c>
      <c r="F39" s="19"/>
      <c r="G39" s="20"/>
      <c r="H39" s="21"/>
      <c r="I39" s="21" t="n">
        <f aca="false">E39-C39</f>
        <v>0</v>
      </c>
      <c r="J39" s="28" t="n">
        <f aca="false">(E39-C39)/(10-C39)</f>
        <v>0</v>
      </c>
      <c r="K39" s="29"/>
    </row>
    <row r="40" customFormat="false" ht="12.8" hidden="false" customHeight="true" outlineLevel="0" collapsed="false">
      <c r="A40" s="15" t="s">
        <v>21</v>
      </c>
      <c r="B40" s="15" t="s">
        <v>18</v>
      </c>
      <c r="C40" s="20" t="n">
        <v>0.95</v>
      </c>
      <c r="D40" s="15" t="s">
        <v>18</v>
      </c>
      <c r="E40" s="18" t="n">
        <v>0.95</v>
      </c>
      <c r="F40" s="19"/>
      <c r="G40" s="20"/>
      <c r="H40" s="21"/>
      <c r="I40" s="21" t="n">
        <f aca="false">E40-C40</f>
        <v>0</v>
      </c>
      <c r="J40" s="28" t="n">
        <f aca="false">(E40-C40)/(10-C40)</f>
        <v>0</v>
      </c>
      <c r="K40" s="29"/>
    </row>
    <row r="41" customFormat="false" ht="12.8" hidden="false" customHeight="true" outlineLevel="0" collapsed="false">
      <c r="A41" s="10" t="s">
        <v>14</v>
      </c>
      <c r="B41" s="10" t="s">
        <v>19</v>
      </c>
      <c r="C41" s="13" t="n">
        <v>3.45</v>
      </c>
      <c r="D41" s="10" t="s">
        <v>19</v>
      </c>
      <c r="E41" s="11" t="n">
        <v>3.45</v>
      </c>
      <c r="F41" s="12"/>
      <c r="G41" s="13"/>
      <c r="H41" s="26" t="n">
        <f aca="false">E41-C41</f>
        <v>0</v>
      </c>
      <c r="I41" s="26"/>
      <c r="J41" s="8"/>
      <c r="K41" s="27" t="n">
        <f aca="false">(E41-C41)/(10-C41)</f>
        <v>0</v>
      </c>
    </row>
    <row r="42" customFormat="false" ht="12.8" hidden="false" customHeight="true" outlineLevel="0" collapsed="false">
      <c r="A42" s="15" t="s">
        <v>21</v>
      </c>
      <c r="B42" s="15" t="s">
        <v>18</v>
      </c>
      <c r="C42" s="20" t="n">
        <v>0.95</v>
      </c>
      <c r="D42" s="15" t="s">
        <v>18</v>
      </c>
      <c r="E42" s="18" t="n">
        <v>0.95</v>
      </c>
      <c r="F42" s="19"/>
      <c r="G42" s="20"/>
      <c r="H42" s="21"/>
      <c r="I42" s="21" t="n">
        <f aca="false">E42-C42</f>
        <v>0</v>
      </c>
      <c r="J42" s="30" t="n">
        <f aca="false">(E42-C42)/(10-C42)</f>
        <v>0</v>
      </c>
      <c r="K42" s="28"/>
    </row>
    <row r="43" customFormat="false" ht="12.8" hidden="false" customHeight="true" outlineLevel="0" collapsed="false">
      <c r="A43" s="10" t="s">
        <v>14</v>
      </c>
      <c r="B43" s="31" t="s">
        <v>18</v>
      </c>
      <c r="C43" s="32" t="n">
        <v>0.95</v>
      </c>
      <c r="D43" s="10" t="s">
        <v>16</v>
      </c>
      <c r="E43" s="11" t="n">
        <v>6.45</v>
      </c>
      <c r="F43" s="12"/>
      <c r="G43" s="13"/>
      <c r="H43" s="26" t="n">
        <f aca="false">E43-C43</f>
        <v>5.5</v>
      </c>
      <c r="I43" s="26"/>
      <c r="J43" s="8"/>
      <c r="K43" s="27" t="n">
        <f aca="false">(E43-C43)/(10-C43)</f>
        <v>0.607734806629834</v>
      </c>
    </row>
    <row r="44" customFormat="false" ht="12.8" hidden="false" customHeight="true" outlineLevel="0" collapsed="false">
      <c r="A44" s="15" t="s">
        <v>21</v>
      </c>
      <c r="B44" s="15" t="s">
        <v>19</v>
      </c>
      <c r="C44" s="20" t="n">
        <v>6.45</v>
      </c>
      <c r="D44" s="15" t="s">
        <v>15</v>
      </c>
      <c r="E44" s="18" t="n">
        <v>8.7</v>
      </c>
      <c r="F44" s="19"/>
      <c r="G44" s="20"/>
      <c r="H44" s="33"/>
      <c r="I44" s="21" t="n">
        <f aca="false">E44-C44</f>
        <v>2.25</v>
      </c>
      <c r="J44" s="28" t="n">
        <f aca="false">(E44-C44)/(10-C44)</f>
        <v>0.633802816901408</v>
      </c>
      <c r="K44" s="29"/>
    </row>
    <row r="45" customFormat="false" ht="12.8" hidden="false" customHeight="true" outlineLevel="0" collapsed="false">
      <c r="A45" s="15" t="s">
        <v>21</v>
      </c>
      <c r="B45" s="15" t="s">
        <v>19</v>
      </c>
      <c r="C45" s="20" t="n">
        <v>3.45</v>
      </c>
      <c r="D45" s="15" t="s">
        <v>19</v>
      </c>
      <c r="E45" s="18" t="n">
        <v>3.45</v>
      </c>
      <c r="F45" s="19"/>
      <c r="G45" s="20"/>
      <c r="H45" s="21"/>
      <c r="I45" s="21" t="n">
        <f aca="false">E45-C45</f>
        <v>0</v>
      </c>
      <c r="J45" s="28" t="n">
        <f aca="false">(E45-C45)/(10-C45)</f>
        <v>0</v>
      </c>
      <c r="K45" s="29"/>
    </row>
    <row r="46" customFormat="false" ht="12.8" hidden="false" customHeight="true" outlineLevel="0" collapsed="false">
      <c r="A46" s="10" t="s">
        <v>14</v>
      </c>
      <c r="B46" s="10" t="s">
        <v>19</v>
      </c>
      <c r="C46" s="13" t="n">
        <v>3.45</v>
      </c>
      <c r="D46" s="10" t="s">
        <v>15</v>
      </c>
      <c r="E46" s="11" t="n">
        <v>8.7</v>
      </c>
      <c r="F46" s="12"/>
      <c r="G46" s="13"/>
      <c r="H46" s="26" t="n">
        <f aca="false">E46-C46</f>
        <v>5.25</v>
      </c>
      <c r="I46" s="26"/>
      <c r="J46" s="8"/>
      <c r="K46" s="27" t="n">
        <f aca="false">(E46-C46)/(10-C46)</f>
        <v>0.801526717557252</v>
      </c>
    </row>
    <row r="47" customFormat="false" ht="12.8" hidden="false" customHeight="true" outlineLevel="0" collapsed="false">
      <c r="A47" s="15" t="s">
        <v>21</v>
      </c>
      <c r="B47" s="15" t="s">
        <v>19</v>
      </c>
      <c r="C47" s="20" t="n">
        <v>3.45</v>
      </c>
      <c r="D47" s="15" t="s">
        <v>19</v>
      </c>
      <c r="E47" s="18" t="n">
        <v>3.45</v>
      </c>
      <c r="F47" s="19"/>
      <c r="G47" s="20"/>
      <c r="H47" s="21"/>
      <c r="I47" s="21" t="n">
        <f aca="false">E47-C47</f>
        <v>0</v>
      </c>
      <c r="J47" s="28" t="n">
        <f aca="false">(E47-C47)/(10-C47)</f>
        <v>0</v>
      </c>
      <c r="K47" s="29"/>
    </row>
    <row r="48" customFormat="false" ht="12.8" hidden="false" customHeight="true" outlineLevel="0" collapsed="false">
      <c r="A48" s="10" t="s">
        <v>14</v>
      </c>
      <c r="B48" s="10" t="s">
        <v>18</v>
      </c>
      <c r="C48" s="13" t="n">
        <v>0.95</v>
      </c>
      <c r="D48" s="10" t="s">
        <v>18</v>
      </c>
      <c r="E48" s="11" t="n">
        <v>0.95</v>
      </c>
      <c r="F48" s="12"/>
      <c r="G48" s="13"/>
      <c r="H48" s="26" t="n">
        <f aca="false">E48-C48</f>
        <v>0</v>
      </c>
      <c r="I48" s="26"/>
      <c r="J48" s="8"/>
      <c r="K48" s="27" t="n">
        <f aca="false">(E48-C48)/(10-C48)</f>
        <v>0</v>
      </c>
    </row>
    <row r="49" customFormat="false" ht="12.8" hidden="false" customHeight="true" outlineLevel="0" collapsed="false">
      <c r="A49" s="15" t="s">
        <v>21</v>
      </c>
      <c r="B49" s="15" t="s">
        <v>18</v>
      </c>
      <c r="C49" s="20" t="n">
        <v>0.95</v>
      </c>
      <c r="D49" s="34" t="s">
        <v>18</v>
      </c>
      <c r="E49" s="22" t="n">
        <v>0.95</v>
      </c>
      <c r="F49" s="19"/>
      <c r="G49" s="20"/>
      <c r="H49" s="21"/>
      <c r="I49" s="21" t="n">
        <f aca="false">E49-C49</f>
        <v>0</v>
      </c>
      <c r="J49" s="28" t="n">
        <f aca="false">(E49-C49)/(10-C49)</f>
        <v>0</v>
      </c>
      <c r="K49" s="29"/>
    </row>
    <row r="50" customFormat="false" ht="12.8" hidden="false" customHeight="true" outlineLevel="0" collapsed="false">
      <c r="A50" s="15" t="s">
        <v>21</v>
      </c>
      <c r="B50" s="15" t="s">
        <v>18</v>
      </c>
      <c r="C50" s="20" t="n">
        <v>0.95</v>
      </c>
      <c r="D50" s="15" t="s">
        <v>18</v>
      </c>
      <c r="E50" s="18" t="n">
        <v>0.95</v>
      </c>
      <c r="F50" s="19"/>
      <c r="G50" s="20"/>
      <c r="H50" s="21"/>
      <c r="I50" s="21" t="n">
        <f aca="false">E50-C50</f>
        <v>0</v>
      </c>
      <c r="J50" s="28" t="n">
        <f aca="false">(E50-C50)/(10-C50)</f>
        <v>0</v>
      </c>
      <c r="K50" s="29"/>
    </row>
    <row r="51" customFormat="false" ht="12.8" hidden="false" customHeight="true" outlineLevel="0" collapsed="false">
      <c r="A51" s="10" t="s">
        <v>14</v>
      </c>
      <c r="B51" s="10" t="s">
        <v>19</v>
      </c>
      <c r="C51" s="13" t="n">
        <v>3.45</v>
      </c>
      <c r="D51" s="10" t="s">
        <v>15</v>
      </c>
      <c r="E51" s="11" t="n">
        <v>8.7</v>
      </c>
      <c r="F51" s="12"/>
      <c r="G51" s="13"/>
      <c r="H51" s="26" t="n">
        <f aca="false">E51-C51</f>
        <v>5.25</v>
      </c>
      <c r="I51" s="26"/>
      <c r="J51" s="8"/>
      <c r="K51" s="27" t="n">
        <f aca="false">(E51-C51)/(10-C51)</f>
        <v>0.801526717557252</v>
      </c>
    </row>
    <row r="52" customFormat="false" ht="12.8" hidden="false" customHeight="true" outlineLevel="0" collapsed="false">
      <c r="A52" s="15" t="s">
        <v>21</v>
      </c>
      <c r="B52" s="15" t="s">
        <v>18</v>
      </c>
      <c r="C52" s="20" t="n">
        <v>0.95</v>
      </c>
      <c r="D52" s="15" t="s">
        <v>18</v>
      </c>
      <c r="E52" s="18" t="n">
        <v>0.95</v>
      </c>
      <c r="F52" s="19"/>
      <c r="G52" s="20"/>
      <c r="H52" s="21"/>
      <c r="I52" s="21" t="n">
        <f aca="false">E52-C52</f>
        <v>0</v>
      </c>
      <c r="J52" s="28" t="n">
        <f aca="false">(E52-C52)/(10-C52)</f>
        <v>0</v>
      </c>
      <c r="K52" s="29"/>
    </row>
    <row r="53" customFormat="false" ht="12.8" hidden="false" customHeight="true" outlineLevel="0" collapsed="false">
      <c r="A53" s="10" t="s">
        <v>14</v>
      </c>
      <c r="B53" s="10" t="s">
        <v>19</v>
      </c>
      <c r="C53" s="13" t="n">
        <v>3.45</v>
      </c>
      <c r="D53" s="10" t="s">
        <v>16</v>
      </c>
      <c r="E53" s="13" t="n">
        <v>6.45</v>
      </c>
      <c r="F53" s="12"/>
      <c r="G53" s="13"/>
      <c r="H53" s="26" t="n">
        <f aca="false">E53-C53</f>
        <v>3</v>
      </c>
      <c r="I53" s="26"/>
      <c r="J53" s="8"/>
      <c r="K53" s="27" t="n">
        <f aca="false">(E53-C53)/(10-C53)</f>
        <v>0.458015267175573</v>
      </c>
    </row>
    <row r="54" customFormat="false" ht="12.8" hidden="false" customHeight="true" outlineLevel="0" collapsed="false">
      <c r="A54" s="10" t="s">
        <v>14</v>
      </c>
      <c r="B54" s="10" t="s">
        <v>19</v>
      </c>
      <c r="C54" s="13" t="n">
        <v>3.45</v>
      </c>
      <c r="D54" s="10" t="s">
        <v>19</v>
      </c>
      <c r="E54" s="11" t="n">
        <v>3.45</v>
      </c>
      <c r="F54" s="12"/>
      <c r="G54" s="13"/>
      <c r="H54" s="26" t="n">
        <f aca="false">E54-C54</f>
        <v>0</v>
      </c>
      <c r="I54" s="26"/>
      <c r="J54" s="8"/>
      <c r="K54" s="27" t="n">
        <f aca="false">(E54-C54)/(10-C54)</f>
        <v>0</v>
      </c>
    </row>
    <row r="55" customFormat="false" ht="12.8" hidden="false" customHeight="true" outlineLevel="0" collapsed="false">
      <c r="A55" s="15" t="s">
        <v>21</v>
      </c>
      <c r="B55" s="15" t="s">
        <v>18</v>
      </c>
      <c r="C55" s="20" t="n">
        <v>0.95</v>
      </c>
      <c r="D55" s="15" t="s">
        <v>18</v>
      </c>
      <c r="E55" s="18" t="n">
        <v>0.95</v>
      </c>
      <c r="F55" s="19"/>
      <c r="G55" s="20"/>
      <c r="H55" s="24"/>
      <c r="I55" s="21" t="n">
        <f aca="false">E55-C55</f>
        <v>0</v>
      </c>
      <c r="J55" s="28" t="n">
        <f aca="false">(E55-C55)/(10-C55)</f>
        <v>0</v>
      </c>
      <c r="K55" s="29"/>
    </row>
    <row r="56" customFormat="false" ht="12.8" hidden="false" customHeight="true" outlineLevel="0" collapsed="false">
      <c r="A56" s="15" t="s">
        <v>21</v>
      </c>
      <c r="B56" s="15" t="s">
        <v>18</v>
      </c>
      <c r="C56" s="20" t="n">
        <v>0.95</v>
      </c>
      <c r="D56" s="15" t="s">
        <v>18</v>
      </c>
      <c r="E56" s="18" t="n">
        <v>0.95</v>
      </c>
      <c r="F56" s="19"/>
      <c r="G56" s="20"/>
      <c r="H56" s="24"/>
      <c r="I56" s="21" t="n">
        <f aca="false">E56-C56</f>
        <v>0</v>
      </c>
      <c r="J56" s="28" t="n">
        <f aca="false">(E56-C56)/(10-C56)</f>
        <v>0</v>
      </c>
      <c r="K56" s="29"/>
    </row>
    <row r="57" customFormat="false" ht="12.8" hidden="false" customHeight="true" outlineLevel="0" collapsed="false">
      <c r="A57" s="15" t="s">
        <v>21</v>
      </c>
      <c r="B57" s="15" t="s">
        <v>18</v>
      </c>
      <c r="C57" s="20" t="n">
        <v>0.95</v>
      </c>
      <c r="D57" s="15" t="s">
        <v>18</v>
      </c>
      <c r="E57" s="18" t="n">
        <v>0.95</v>
      </c>
      <c r="F57" s="15"/>
      <c r="G57" s="29"/>
      <c r="H57" s="29"/>
      <c r="I57" s="21" t="n">
        <f aca="false">E57-C57</f>
        <v>0</v>
      </c>
      <c r="J57" s="28" t="n">
        <f aca="false">(E57-C57)/(10-C57)</f>
        <v>0</v>
      </c>
      <c r="K57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2026-01-12T15:34:55Z</dcterms:modified>
  <cp:revision>167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